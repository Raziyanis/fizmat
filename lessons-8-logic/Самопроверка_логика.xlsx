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чало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Итог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D7652"/>
      </patternFill>
    </fill>
  </fills>
  <borders count="2">
    <border>
      <left/>
      <right/>
      <top/>
      <bottom/>
      <diagonal/>
    </border>
    <border>
      <bottom style="thin">
        <color rgb="00C9D3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5" fillId="3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applyProtection="1" pivotButton="0" quotePrefix="0" xfId="0">
      <alignment vertical="top" wrapText="1"/>
      <protection locked="1" hidden="1"/>
    </xf>
    <xf numFmtId="0" fontId="4" fillId="0" borderId="0" pivotButton="0" quotePrefix="0" xfId="0"/>
    <xf numFmtId="0" fontId="6" fillId="0" borderId="0" applyProtection="1" pivotButton="0" quotePrefix="0" xfId="0">
      <protection locked="1" hidden="1"/>
    </xf>
  </cellXfs>
  <cellStyles count="1">
    <cellStyle name="Normal" xfId="0" builtinId="0" hidden="0"/>
  </cellStyles>
  <dxfs count="2">
    <dxf>
      <fill>
        <patternFill patternType="solid">
          <fgColor rgb="00D9F2E3"/>
        </patternFill>
      </fill>
    </dxf>
    <dxf>
      <fill>
        <patternFill patternType="solid">
          <fgColor rgb="00FBE1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Самопроверка: логические функции в Excel</t>
        </is>
      </c>
    </row>
    <row r="2">
      <c r="A2" s="2" t="inlineStr"/>
    </row>
    <row r="3">
      <c r="A3" s="3" t="inlineStr">
        <is>
          <t>Класс:</t>
        </is>
      </c>
      <c r="B3" s="4" t="n"/>
    </row>
    <row r="4">
      <c r="A4" s="3" t="inlineStr">
        <is>
          <t>Фамилия и имя:</t>
        </is>
      </c>
      <c r="B4" s="4" t="n"/>
    </row>
    <row r="5">
      <c r="A5" s="2" t="inlineStr"/>
    </row>
    <row r="6">
      <c r="A6" s="3" t="inlineStr">
        <is>
          <t>Как работать</t>
        </is>
      </c>
    </row>
    <row r="7">
      <c r="A7" s="2" t="inlineStr">
        <is>
          <t>1. Открой лист сценария (S1–S5). Таблица с данными уже заполнена.</t>
        </is>
      </c>
    </row>
    <row r="8">
      <c r="A8" s="2" t="inlineStr">
        <is>
          <t>2. Справа — шаги. Пиши формулу в жёлтую ячейку, которая указана в шаге.</t>
        </is>
      </c>
    </row>
    <row r="9">
      <c r="A9" s="2" t="inlineStr">
        <is>
          <t>3. «Протяни вниз» — потяни формулу за маленький квадрат в правом нижнем углу ячейки.</t>
        </is>
      </c>
    </row>
    <row r="10">
      <c r="A10" s="2" t="inlineStr">
        <is>
          <t>4. В столбце «Проверка» Excel сразу покажет: ✓ верно — или что исправить.</t>
        </is>
      </c>
    </row>
    <row r="11">
      <c r="A11" s="2" t="inlineStr">
        <is>
          <t>5. Шаги «измени…» — поменяй данные в таблице, формулы не трогай.</t>
        </is>
      </c>
    </row>
    <row r="12">
      <c r="A12" s="2" t="inlineStr">
        <is>
          <t>6. Общий счёт — на листе «Итог».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B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1" max="11"/>
    <col width="20" customWidth="1" min="12" max="12"/>
    <col width="60" customWidth="1" min="13" max="13"/>
    <col width="22" customWidth="1" min="14" max="14"/>
    <col width="34" customWidth="1" min="15" max="15"/>
  </cols>
  <sheetData>
    <row r="1">
      <c r="A1" s="5" t="inlineStr">
        <is>
          <t>Ученик</t>
        </is>
      </c>
      <c r="B1" s="5" t="inlineStr">
        <is>
          <t>Балл</t>
        </is>
      </c>
      <c r="C1" s="5" t="inlineStr">
        <is>
          <t>Итог</t>
        </is>
      </c>
      <c r="D1" s="5" t="inlineStr">
        <is>
          <t>50 и больше?</t>
        </is>
      </c>
      <c r="E1" s="5" t="inlineStr">
        <is>
          <t>Бонус</t>
        </is>
      </c>
      <c r="F1" s="5" t="inlineStr">
        <is>
          <t>Зачёт = 1</t>
        </is>
      </c>
      <c r="G1" s="6" t="n"/>
      <c r="H1" s="6" t="n"/>
      <c r="I1" s="6" t="n"/>
      <c r="K1" s="7" t="inlineStr">
        <is>
          <t>№</t>
        </is>
      </c>
      <c r="L1" s="7" t="inlineStr">
        <is>
          <t>Тип шага</t>
        </is>
      </c>
      <c r="M1" s="7" t="inlineStr">
        <is>
          <t>Задание</t>
        </is>
      </c>
      <c r="N1" s="7" t="inlineStr">
        <is>
          <t>Ячейка</t>
        </is>
      </c>
      <c r="O1" s="7" t="inlineStr">
        <is>
          <t>Проверка</t>
        </is>
      </c>
    </row>
    <row r="2">
      <c r="A2" s="6" t="inlineStr">
        <is>
          <t>Айдана</t>
        </is>
      </c>
      <c r="B2" s="6" t="n">
        <v>72</v>
      </c>
      <c r="C2" s="4" t="n"/>
      <c r="D2" s="4" t="n"/>
      <c r="E2" s="4" t="n"/>
      <c r="F2" s="4" t="n"/>
      <c r="G2" s="6" t="n"/>
      <c r="H2" s="6" t="n"/>
      <c r="I2" s="6" t="n"/>
      <c r="K2" s="8" t="n">
        <v>1</v>
      </c>
      <c r="L2" s="8" t="inlineStr">
        <is>
          <t>сравнение</t>
        </is>
      </c>
      <c r="M2" s="8" t="inlineStr">
        <is>
          <t>Запиши в D2 сравнение: балл Айданы 50 или больше? Excel покажет ИСТИНА или ЛОЖЬ.</t>
        </is>
      </c>
      <c r="N2" s="8" t="inlineStr">
        <is>
          <t>D2</t>
        </is>
      </c>
      <c r="O2" s="9">
        <f>IF(ISBLANK(D2),"—",IF(OR(NOT(_xlfn.ISFORMULA(D2))),"✗ нужна формула, а не готовый ответ",IF(NOT(AND(IFERROR(SUBSTITUTE(LOWER(D2&amp;""),"ё","е")=SUBSTITUTE(LOWER((B2&gt;=50)&amp;""),"ё","е"),FALSE))),"✗ ответ неверный — проверь формулу и диапазон","✓ верно")))</f>
        <v/>
      </c>
    </row>
    <row r="3">
      <c r="A3" s="6" t="inlineStr">
        <is>
          <t>Тимур</t>
        </is>
      </c>
      <c r="B3" s="6" t="n">
        <v>45</v>
      </c>
      <c r="C3" s="4" t="n"/>
      <c r="D3" s="6" t="n"/>
      <c r="E3" s="4" t="n"/>
      <c r="F3" s="4" t="n"/>
      <c r="G3" s="6" t="n"/>
      <c r="H3" s="6" t="n"/>
      <c r="I3" s="6" t="n"/>
      <c r="K3" s="8" t="n">
        <v>2</v>
      </c>
      <c r="L3" s="8" t="inlineStr">
        <is>
          <t>ЕСЛИ с текстом</t>
        </is>
      </c>
      <c r="M3" s="8" t="inlineStr">
        <is>
          <t>В C2: если балл 50 или больше — «зачёт», иначе «незачёт».</t>
        </is>
      </c>
      <c r="N3" s="8" t="inlineStr">
        <is>
          <t>C2</t>
        </is>
      </c>
      <c r="O3" s="9">
        <f>IF(ISBLANK(C2),"—",IF(OR(NOT(_xlfn.ISFORMULA(C2))),"✗ нужна формула, а не готовый ответ",IF(NOT(OR(ISNUMBER(SEARCH("ЕСЛИ(",IFERROR(_xlfn.FORMULATEXT(C2),""))),ISNUMBER(SEARCH("IF(",IFERROR(_xlfn.FORMULATEXT(C2),""))))),"✗ нужна функция ЕСЛИ",IF(NOT(AND(IFERROR(SUBSTITUTE(LOWER(C2&amp;""),"ё","е")=SUBSTITUTE(LOWER((IF(B2&gt;=50,"зачёт","незачёт"))&amp;""),"ё","е"),FALSE))),"✗ ответ неверный — проверь формулу и диапазон","✓ верно"))))</f>
        <v/>
      </c>
    </row>
    <row r="4">
      <c r="A4" s="6" t="inlineStr">
        <is>
          <t>Дана</t>
        </is>
      </c>
      <c r="B4" s="6" t="n">
        <v>50</v>
      </c>
      <c r="C4" s="4" t="n"/>
      <c r="D4" s="6" t="n"/>
      <c r="E4" s="4" t="n"/>
      <c r="F4" s="4" t="n"/>
      <c r="G4" s="6" t="n"/>
      <c r="H4" s="6" t="n"/>
      <c r="I4" s="6" t="n"/>
      <c r="K4" s="8" t="n">
        <v>3</v>
      </c>
      <c r="L4" s="8" t="inlineStr">
        <is>
          <t>протянуть вниз</t>
        </is>
      </c>
      <c r="M4" s="8" t="inlineStr">
        <is>
          <t>Протяни формулу из C2 вниз до C7: потяни за маленький квадрат в правом нижнем углу ячейки. Что получилось у Даны (C4)?</t>
        </is>
      </c>
      <c r="N4" s="8" t="inlineStr">
        <is>
          <t>C2 → протяни до C7; ответ в C4</t>
        </is>
      </c>
      <c r="O4" s="9">
        <f>IF(ISBLANK(C2),"—",IF(OR(NOT(_xlfn.ISFORMULA(C2)),NOT(_xlfn.ISFORMULA(C3)),NOT(_xlfn.ISFORMULA(C4)),NOT(_xlfn.ISFORMULA(C5)),NOT(_xlfn.ISFORMULA(C6)),NOT(_xlfn.ISFORMULA(C7))),"✗ нужна формула, а не готовый ответ (протяни формулу вниз)",IF(NOT(OR(ISNUMBER(SEARCH("ЕСЛИ(",IFERROR(_xlfn.FORMULATEXT(C2),""))),ISNUMBER(SEARCH("IF(",IFERROR(_xlfn.FORMULATEXT(C2),""))))),"✗ нужна функция ЕСЛИ",IF(NOT(AND(IFERROR(SUBSTITUTE(LOWER(C2&amp;""),"ё","е")=SUBSTITUTE(LOWER((IF(B2&gt;=50,"зачёт","незачёт"))&amp;""),"ё","е"),FALSE),IFERROR(SUBSTITUTE(LOWER(C3&amp;""),"ё","е")=SUBSTITUTE(LOWER((IF(B3&gt;=50,"зачёт","незачёт"))&amp;""),"ё","е"),FALSE),IFERROR(SUBSTITUTE(LOWER(C4&amp;""),"ё","е")=SUBSTITUTE(LOWER((IF(B4&gt;=50,"зачёт","незачёт"))&amp;""),"ё","е"),FALSE),IFERROR(SUBSTITUTE(LOWER(C5&amp;""),"ё","е")=SUBSTITUTE(LOWER((IF(B5&gt;=50,"зачёт","незачёт"))&amp;""),"ё","е"),FALSE),IFERROR(SUBSTITUTE(LOWER(C6&amp;""),"ё","е")=SUBSTITUTE(LOWER((IF(B6&gt;=50,"зачёт","незачёт"))&amp;""),"ё","е"),FALSE),IFERROR(SUBSTITUTE(LOWER(C7&amp;""),"ё","е")=SUBSTITUTE(LOWER((IF(B7&gt;=50,"зачёт","незачёт"))&amp;""),"ё","е"),FALSE))),"✗ ответ неверный — проверь формулу и диапазон","✓ верно"))))</f>
        <v/>
      </c>
    </row>
    <row r="5">
      <c r="A5" s="6" t="inlineStr">
        <is>
          <t>Арман</t>
        </is>
      </c>
      <c r="B5" s="6" t="n">
        <v>38</v>
      </c>
      <c r="C5" s="4" t="n"/>
      <c r="D5" s="6" t="n"/>
      <c r="E5" s="4" t="n"/>
      <c r="F5" s="4" t="n"/>
      <c r="G5" s="6" t="n"/>
      <c r="H5" s="6" t="n"/>
      <c r="I5" s="6" t="n"/>
      <c r="K5" s="8" t="n">
        <v>4</v>
      </c>
      <c r="L5" s="8" t="inlineStr">
        <is>
          <t>ЕСЛИ с числами</t>
        </is>
      </c>
      <c r="M5" s="8" t="inlineStr">
        <is>
          <t>Бонус: если балл 85 или больше — 5 баллов, иначе 0. Запиши в E2 и протяни до E7. Какой бонус у Мадины (E6)?</t>
        </is>
      </c>
      <c r="N5" s="8" t="inlineStr">
        <is>
          <t>E2 → протяни до E7; ответ в E6</t>
        </is>
      </c>
      <c r="O5" s="9">
        <f>IF(ISBLANK(E2),"—",IF(OR(NOT(_xlfn.ISFORMULA(E2)),NOT(_xlfn.ISFORMULA(E3)),NOT(_xlfn.ISFORMULA(E4)),NOT(_xlfn.ISFORMULA(E5)),NOT(_xlfn.ISFORMULA(E6)),NOT(_xlfn.ISFORMULA(E7))),"✗ нужна формула, а не готовый ответ (протяни формулу вниз)",IF(NOT(OR(ISNUMBER(SEARCH("ЕСЛИ(",IFERROR(_xlfn.FORMULATEXT(E2),""))),ISNUMBER(SEARCH("IF(",IFERROR(_xlfn.FORMULATEXT(E2),""))))),"✗ нужна функция ЕСЛИ",IF(NOT(AND(IFERROR(ABS(E2-(IF(B2&gt;=85,5,0)))&lt;=0.01*MAX(1,ABS(IF(B2&gt;=85,5,0))),FALSE),IFERROR(ABS(E3-(IF(B3&gt;=85,5,0)))&lt;=0.01*MAX(1,ABS(IF(B3&gt;=85,5,0))),FALSE),IFERROR(ABS(E4-(IF(B4&gt;=85,5,0)))&lt;=0.01*MAX(1,ABS(IF(B4&gt;=85,5,0))),FALSE),IFERROR(ABS(E5-(IF(B5&gt;=85,5,0)))&lt;=0.01*MAX(1,ABS(IF(B5&gt;=85,5,0))),FALSE),IFERROR(ABS(E6-(IF(B6&gt;=85,5,0)))&lt;=0.01*MAX(1,ABS(IF(B6&gt;=85,5,0))),FALSE),IFERROR(ABS(E7-(IF(B7&gt;=85,5,0)))&lt;=0.01*MAX(1,ABS(IF(B7&gt;=85,5,0))),FALSE))),"✗ ответ неверный — проверь формулу и диапазон","✓ верно"))))</f>
        <v/>
      </c>
    </row>
    <row r="6">
      <c r="A6" s="6" t="inlineStr">
        <is>
          <t>Мадина</t>
        </is>
      </c>
      <c r="B6" s="6" t="n">
        <v>91</v>
      </c>
      <c r="C6" s="4" t="n"/>
      <c r="D6" s="6" t="n"/>
      <c r="E6" s="4" t="n"/>
      <c r="F6" s="4" t="n"/>
      <c r="G6" s="6" t="n"/>
      <c r="H6" s="6" t="n"/>
      <c r="I6" s="6" t="n"/>
      <c r="K6" s="8" t="n">
        <v>5</v>
      </c>
      <c r="L6" s="8" t="inlineStr">
        <is>
          <t>условие с текстом</t>
        </is>
      </c>
      <c r="M6" s="8" t="inlineStr">
        <is>
          <t>В F2 поставь 1, если в C2 написано «зачёт», иначе 0. Протяни до F7. Что у Тимура (F3)?</t>
        </is>
      </c>
      <c r="N6" s="8" t="inlineStr">
        <is>
          <t>F2 → протяни до F7; ответ в F3</t>
        </is>
      </c>
      <c r="O6" s="9">
        <f>IF(ISBLANK(F2),"—",IF(OR(NOT(_xlfn.ISFORMULA(F2)),NOT(_xlfn.ISFORMULA(F3)),NOT(_xlfn.ISFORMULA(F4)),NOT(_xlfn.ISFORMULA(F5)),NOT(_xlfn.ISFORMULA(F6)),NOT(_xlfn.ISFORMULA(F7))),"✗ нужна формула, а не готовый ответ (протяни формулу вниз)",IF(NOT(OR(ISNUMBER(SEARCH("ЕСЛИ(",IFERROR(_xlfn.FORMULATEXT(F2),""))),ISNUMBER(SEARCH("IF(",IFERROR(_xlfn.FORMULATEXT(F2),""))))),"✗ нужна функция ЕСЛИ",IF(NOT(AND(IFERROR(ABS(F2-(IF(C2="зачёт",1,0)))&lt;=0.01*MAX(1,ABS(IF(C2="зачёт",1,0))),FALSE),IFERROR(ABS(F3-(IF(C3="зачёт",1,0)))&lt;=0.01*MAX(1,ABS(IF(C3="зачёт",1,0))),FALSE),IFERROR(ABS(F4-(IF(C4="зачёт",1,0)))&lt;=0.01*MAX(1,ABS(IF(C4="зачёт",1,0))),FALSE),IFERROR(ABS(F5-(IF(C5="зачёт",1,0)))&lt;=0.01*MAX(1,ABS(IF(C5="зачёт",1,0))),FALSE),IFERROR(ABS(F6-(IF(C6="зачёт",1,0)))&lt;=0.01*MAX(1,ABS(IF(C6="зачёт",1,0))),FALSE),IFERROR(ABS(F7-(IF(C7="зачёт",1,0)))&lt;=0.01*MAX(1,ABS(IF(C7="зачёт",1,0))),FALSE))),"✗ ответ неверный — проверь формулу и диапазон","✓ верно"))))</f>
        <v/>
      </c>
    </row>
    <row r="7">
      <c r="A7" s="6" t="inlineStr">
        <is>
          <t>Ерлан</t>
        </is>
      </c>
      <c r="B7" s="6" t="n">
        <v>64</v>
      </c>
      <c r="C7" s="4" t="n"/>
      <c r="D7" s="6" t="n"/>
      <c r="E7" s="4" t="n"/>
      <c r="F7" s="4" t="n"/>
      <c r="G7" s="6" t="n"/>
      <c r="H7" s="6" t="n"/>
      <c r="I7" s="6" t="n"/>
      <c r="K7" s="8" t="n">
        <v>6</v>
      </c>
      <c r="L7" s="8" t="inlineStr">
        <is>
          <t>сложное: граница</t>
        </is>
      </c>
      <c r="M7" s="8" t="inlineStr">
        <is>
          <t>Тимур исправил работу: измени его балл в B3 на 50, формулы не трогай. Что теперь в C3? Был бы такой ответ со знаком &gt; вместо &gt;=?</t>
        </is>
      </c>
      <c r="N7" s="8" t="inlineStr">
        <is>
          <t>измени B3 → 50; ответ в C3</t>
        </is>
      </c>
      <c r="O7" s="9">
        <f>IF(ISBLANK(C3),"—",IF(NOT(AND(B3=50)),"✗ сначала измени B3 на 50",IF(OR(NOT(_xlfn.ISFORMULA(C3))),"✗ нужна формула, а не готовый ответ",IF(NOT(AND(IFERROR(SUBSTITUTE(LOWER(C3&amp;""),"ё","е")=SUBSTITUTE(LOWER((IF(B3&gt;=50,"зачёт","незачёт"))&amp;""),"ё","е"),FALSE))),"✗ ответ неверный — проверь формулу и диапазон","✓ верно"))))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M9" s="10" t="inlineStr">
        <is>
          <t>Выполнено шагов:</t>
        </is>
      </c>
      <c r="O9" s="11">
        <f>COUNTIF(O2:O7,"✓*")&amp;" из 6"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O2:O7">
    <cfRule type="expression" priority="1" dxfId="0">
      <formula>LEFT(O2,1)="✓"</formula>
    </cfRule>
    <cfRule type="expression" priority="2" dxfId="1">
      <formula>LEFT(O2,1)="✗"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1" max="11"/>
    <col width="20" customWidth="1" min="12" max="12"/>
    <col width="60" customWidth="1" min="13" max="13"/>
    <col width="22" customWidth="1" min="14" max="14"/>
    <col width="34" customWidth="1" min="15" max="15"/>
  </cols>
  <sheetData>
    <row r="1">
      <c r="A1" s="5" t="inlineStr">
        <is>
          <t>Заказ</t>
        </is>
      </c>
      <c r="B1" s="5" t="inlineStr">
        <is>
          <t>Сумма, тг</t>
        </is>
      </c>
      <c r="C1" s="5" t="inlineStr">
        <is>
          <t>Доставка, тг</t>
        </is>
      </c>
      <c r="D1" s="5" t="inlineStr">
        <is>
          <t>Скидка, тг</t>
        </is>
      </c>
      <c r="E1" s="5" t="inlineStr">
        <is>
          <t>К оплате, тг</t>
        </is>
      </c>
      <c r="F1" s="5" t="inlineStr">
        <is>
          <t>Тип заказа</t>
        </is>
      </c>
      <c r="G1" s="6" t="n"/>
      <c r="H1" s="6" t="n"/>
      <c r="I1" s="6" t="n"/>
      <c r="K1" s="7" t="inlineStr">
        <is>
          <t>№</t>
        </is>
      </c>
      <c r="L1" s="7" t="inlineStr">
        <is>
          <t>Тип шага</t>
        </is>
      </c>
      <c r="M1" s="7" t="inlineStr">
        <is>
          <t>Задание</t>
        </is>
      </c>
      <c r="N1" s="7" t="inlineStr">
        <is>
          <t>Ячейка</t>
        </is>
      </c>
      <c r="O1" s="7" t="inlineStr">
        <is>
          <t>Проверка</t>
        </is>
      </c>
    </row>
    <row r="2">
      <c r="A2" s="6" t="inlineStr">
        <is>
          <t>№1</t>
        </is>
      </c>
      <c r="B2" s="6" t="n">
        <v>3500</v>
      </c>
      <c r="C2" s="4" t="n"/>
      <c r="D2" s="4" t="n"/>
      <c r="E2" s="4" t="n"/>
      <c r="F2" s="4" t="n"/>
      <c r="G2" s="6" t="n"/>
      <c r="H2" s="6" t="n"/>
      <c r="I2" s="6" t="n"/>
      <c r="K2" s="8" t="n">
        <v>1</v>
      </c>
      <c r="L2" s="8" t="inlineStr">
        <is>
          <t>число в ветке</t>
        </is>
      </c>
      <c r="M2" s="8" t="inlineStr">
        <is>
          <t>Доставка: если сумма 5000 тг или больше — 0, иначе 700. Запиши в C2 и протяни до C6. Сколько доставка у заказа №2 (C3)?</t>
        </is>
      </c>
      <c r="N2" s="8" t="inlineStr">
        <is>
          <t>C2 → протяни до C6; ответ в C3</t>
        </is>
      </c>
      <c r="O2" s="9">
        <f>IF(ISBLANK(C2),"—",IF(OR(NOT(_xlfn.ISFORMULA(C2)),NOT(_xlfn.ISFORMULA(C3)),NOT(_xlfn.ISFORMULA(C4)),NOT(_xlfn.ISFORMULA(C5)),NOT(_xlfn.ISFORMULA(C6))),"✗ нужна формула, а не готовый ответ (протяни формулу вниз)",IF(NOT(OR(ISNUMBER(SEARCH("ЕСЛИ(",IFERROR(_xlfn.FORMULATEXT(C2),""))),ISNUMBER(SEARCH("IF(",IFERROR(_xlfn.FORMULATEXT(C2),""))))),"✗ нужна функция ЕСЛИ",IF(NOT(AND(IFERROR(ABS(C2-(IF(B2&gt;=5000,0,700)))&lt;=0.01*MAX(1,ABS(IF(B2&gt;=5000,0,700))),FALSE),IFERROR(ABS(C3-(IF(B3&gt;=5000,0,700)))&lt;=0.01*MAX(1,ABS(IF(B3&gt;=5000,0,700))),FALSE),IFERROR(ABS(C4-(IF(B4&gt;=5000,0,700)))&lt;=0.01*MAX(1,ABS(IF(B4&gt;=5000,0,700))),FALSE),IFERROR(ABS(C5-(IF(B5&gt;=5000,0,700)))&lt;=0.01*MAX(1,ABS(IF(B5&gt;=5000,0,700))),FALSE),IFERROR(ABS(C6-(IF(B6&gt;=5000,0,700)))&lt;=0.01*MAX(1,ABS(IF(B6&gt;=5000,0,700))),FALSE))),"✗ ответ неверный — проверь формулу и диапазон","✓ верно"))))</f>
        <v/>
      </c>
    </row>
    <row r="3">
      <c r="A3" s="6" t="inlineStr">
        <is>
          <t>№2</t>
        </is>
      </c>
      <c r="B3" s="6" t="n">
        <v>5000</v>
      </c>
      <c r="C3" s="4" t="n"/>
      <c r="D3" s="4" t="n"/>
      <c r="E3" s="4" t="n"/>
      <c r="F3" s="4" t="n"/>
      <c r="G3" s="6" t="n"/>
      <c r="H3" s="6" t="n"/>
      <c r="I3" s="6" t="n"/>
      <c r="K3" s="8" t="n">
        <v>2</v>
      </c>
      <c r="L3" s="8" t="inlineStr">
        <is>
          <t>вычисление в ветке</t>
        </is>
      </c>
      <c r="M3" s="8" t="inlineStr">
        <is>
          <t>Скидка: если сумма больше 10 000 тг — 10% от суммы, иначе 0. Запиши в D2 и протяни. Какая скидка у заказа №3 (D4)?</t>
        </is>
      </c>
      <c r="N3" s="8" t="inlineStr">
        <is>
          <t>D2 → протяни до D6; ответ в D4</t>
        </is>
      </c>
      <c r="O3" s="9">
        <f>IF(ISBLANK(D2),"—",IF(OR(NOT(_xlfn.ISFORMULA(D2)),NOT(_xlfn.ISFORMULA(D3)),NOT(_xlfn.ISFORMULA(D4)),NOT(_xlfn.ISFORMULA(D5)),NOT(_xlfn.ISFORMULA(D6))),"✗ нужна формула, а не готовый ответ (протяни формулу вниз)",IF(NOT(OR(ISNUMBER(SEARCH("ЕСЛИ(",IFERROR(_xlfn.FORMULATEXT(D2),""))),ISNUMBER(SEARCH("IF(",IFERROR(_xlfn.FORMULATEXT(D2),""))))),"✗ нужна функция ЕСЛИ",IF(NOT(AND(IFERROR(ABS(D2-(IF(B2&gt;10000,B2*0.1,0)))&lt;=0.01*MAX(1,ABS(IF(B2&gt;10000,B2*0.1,0))),FALSE),IFERROR(ABS(D3-(IF(B3&gt;10000,B3*0.1,0)))&lt;=0.01*MAX(1,ABS(IF(B3&gt;10000,B3*0.1,0))),FALSE),IFERROR(ABS(D4-(IF(B4&gt;10000,B4*0.1,0)))&lt;=0.01*MAX(1,ABS(IF(B4&gt;10000,B4*0.1,0))),FALSE),IFERROR(ABS(D5-(IF(B5&gt;10000,B5*0.1,0)))&lt;=0.01*MAX(1,ABS(IF(B5&gt;10000,B5*0.1,0))),FALSE),IFERROR(ABS(D6-(IF(B6&gt;10000,B6*0.1,0)))&lt;=0.01*MAX(1,ABS(IF(B6&gt;10000,B6*0.1,0))),FALSE))),"✗ ответ неверный — проверь формулу и диапазон","✓ верно"))))</f>
        <v/>
      </c>
    </row>
    <row r="4">
      <c r="A4" s="6" t="inlineStr">
        <is>
          <t>№3</t>
        </is>
      </c>
      <c r="B4" s="6" t="n">
        <v>12000</v>
      </c>
      <c r="C4" s="4" t="n"/>
      <c r="D4" s="4" t="n"/>
      <c r="E4" s="4" t="n"/>
      <c r="F4" s="4" t="n"/>
      <c r="G4" s="6" t="n"/>
      <c r="H4" s="6" t="n"/>
      <c r="I4" s="6" t="n"/>
      <c r="K4" s="8" t="n">
        <v>3</v>
      </c>
      <c r="L4" s="8" t="inlineStr">
        <is>
          <t>итог по строке</t>
        </is>
      </c>
      <c r="M4" s="8" t="inlineStr">
        <is>
          <t>К оплате = сумма + доставка − скидка. Запиши в E2 и протяни. Сколько платит заказ №4 (E5)?</t>
        </is>
      </c>
      <c r="N4" s="8" t="inlineStr">
        <is>
          <t>E2 → протяни до E6; ответ в E5</t>
        </is>
      </c>
      <c r="O4" s="9">
        <f>IF(ISBLANK(E2),"—",IF(OR(NOT(_xlfn.ISFORMULA(E2)),NOT(_xlfn.ISFORMULA(E3)),NOT(_xlfn.ISFORMULA(E4)),NOT(_xlfn.ISFORMULA(E5)),NOT(_xlfn.ISFORMULA(E6))),"✗ нужна формула, а не готовый ответ (протяни формулу вниз)",IF(NOT(AND(IFERROR(ABS(E2-(B2+C2-D2))&lt;=0.01*MAX(1,ABS(B2+C2-D2)),FALSE),IFERROR(ABS(E3-(B3+C3-D3))&lt;=0.01*MAX(1,ABS(B3+C3-D3)),FALSE),IFERROR(ABS(E4-(B4+C4-D4))&lt;=0.01*MAX(1,ABS(B4+C4-D4)),FALSE),IFERROR(ABS(E5-(B5+C5-D5))&lt;=0.01*MAX(1,ABS(B5+C5-D5)),FALSE),IFERROR(ABS(E6-(B6+C6-D6))&lt;=0.01*MAX(1,ABS(B6+C6-D6)),FALSE))),"✗ ответ неверный — проверь формулу и диапазон","✓ верно")))</f>
        <v/>
      </c>
    </row>
    <row r="5">
      <c r="A5" s="6" t="inlineStr">
        <is>
          <t>№4</t>
        </is>
      </c>
      <c r="B5" s="6" t="n">
        <v>800</v>
      </c>
      <c r="C5" s="4" t="n"/>
      <c r="D5" s="4" t="n"/>
      <c r="E5" s="4" t="n"/>
      <c r="F5" s="4" t="n"/>
      <c r="G5" s="6" t="n"/>
      <c r="H5" s="6" t="n"/>
      <c r="I5" s="6" t="n"/>
      <c r="K5" s="8" t="n">
        <v>4</v>
      </c>
      <c r="L5" s="8" t="inlineStr">
        <is>
          <t>СУММ</t>
        </is>
      </c>
      <c r="M5" s="8" t="inlineStr">
        <is>
          <t>Сколько денег магазин получит со всех заказов? Сложи E2:E6 в E7.</t>
        </is>
      </c>
      <c r="N5" s="8" t="inlineStr">
        <is>
          <t>E7</t>
        </is>
      </c>
      <c r="O5" s="9">
        <f>IF(ISBLANK(E7),"—",IF(OR(NOT(_xlfn.ISFORMULA(E7))),"✗ нужна формула, а не готовый ответ",IF(NOT(OR(ISNUMBER(SEARCH("СУММ(",IFERROR(_xlfn.FORMULATEXT(E7),""))),ISNUMBER(SEARCH("SUM(",IFERROR(_xlfn.FORMULATEXT(E7),""))))),"✗ нужна функция СУММ",IF(NOT(AND(IFERROR(ABS(E7-(SUM(E2:E6)))&lt;=0.01*MAX(1,ABS(SUM(E2:E6))),FALSE))),"✗ ответ неверный — проверь формулу и диапазон","✓ верно"))))</f>
        <v/>
      </c>
    </row>
    <row r="6">
      <c r="A6" s="6" t="inlineStr">
        <is>
          <t>№5</t>
        </is>
      </c>
      <c r="B6" s="6" t="n">
        <v>10000</v>
      </c>
      <c r="C6" s="4" t="n"/>
      <c r="D6" s="4" t="n"/>
      <c r="E6" s="4" t="n"/>
      <c r="F6" s="4" t="n"/>
      <c r="G6" s="6" t="n"/>
      <c r="H6" s="6" t="n"/>
      <c r="I6" s="6" t="n"/>
      <c r="K6" s="8" t="n">
        <v>5</v>
      </c>
      <c r="L6" s="8" t="inlineStr">
        <is>
          <t>текст по числу</t>
        </is>
      </c>
      <c r="M6" s="8" t="inlineStr">
        <is>
          <t>Если к оплате больше 5000 тг — «крупный», иначе «обычный». Запиши в F2 и протяни. Что у заказа №3 (F4)?</t>
        </is>
      </c>
      <c r="N6" s="8" t="inlineStr">
        <is>
          <t>F2 → протяни до F6; ответ в F4</t>
        </is>
      </c>
      <c r="O6" s="9">
        <f>IF(ISBLANK(F2),"—",IF(OR(NOT(_xlfn.ISFORMULA(F2)),NOT(_xlfn.ISFORMULA(F3)),NOT(_xlfn.ISFORMULA(F4)),NOT(_xlfn.ISFORMULA(F5)),NOT(_xlfn.ISFORMULA(F6))),"✗ нужна формула, а не готовый ответ (протяни формулу вниз)",IF(NOT(OR(ISNUMBER(SEARCH("ЕСЛИ(",IFERROR(_xlfn.FORMULATEXT(F2),""))),ISNUMBER(SEARCH("IF(",IFERROR(_xlfn.FORMULATEXT(F2),""))))),"✗ нужна функция ЕСЛИ",IF(NOT(AND(IFERROR(SUBSTITUTE(LOWER(F2&amp;""),"ё","е")=SUBSTITUTE(LOWER((IF(E2&gt;5000,"крупный","обычный"))&amp;""),"ё","е"),FALSE),IFERROR(SUBSTITUTE(LOWER(F3&amp;""),"ё","е")=SUBSTITUTE(LOWER((IF(E3&gt;5000,"крупный","обычный"))&amp;""),"ё","е"),FALSE),IFERROR(SUBSTITUTE(LOWER(F4&amp;""),"ё","е")=SUBSTITUTE(LOWER((IF(E4&gt;5000,"крупный","обычный"))&amp;""),"ё","е"),FALSE),IFERROR(SUBSTITUTE(LOWER(F5&amp;""),"ё","е")=SUBSTITUTE(LOWER((IF(E5&gt;5000,"крупный","обычный"))&amp;""),"ё","е"),FALSE),IFERROR(SUBSTITUTE(LOWER(F6&amp;""),"ё","е")=SUBSTITUTE(LOWER((IF(E6&gt;5000,"крупный","обычный"))&amp;""),"ё","е"),FALSE))),"✗ ответ неверный — проверь формулу и диапазон","✓ верно"))))</f>
        <v/>
      </c>
    </row>
    <row r="7">
      <c r="A7" s="6" t="inlineStr">
        <is>
          <t>Всего</t>
        </is>
      </c>
      <c r="B7" s="6" t="n"/>
      <c r="C7" s="6" t="n"/>
      <c r="D7" s="6" t="n"/>
      <c r="E7" s="4" t="n"/>
      <c r="F7" s="6" t="n"/>
      <c r="G7" s="6" t="n"/>
      <c r="H7" s="6" t="n"/>
      <c r="I7" s="6" t="n"/>
      <c r="K7" s="8" t="n">
        <v>6</v>
      </c>
      <c r="L7" s="8" t="inlineStr">
        <is>
          <t>сложное: измени данные</t>
        </is>
      </c>
      <c r="M7" s="8" t="inlineStr">
        <is>
          <t>Заказ №4 вырос до 4900 тг — измени B5. Сколько теперь к оплате (E5)? Почему доставка не исчезла?</t>
        </is>
      </c>
      <c r="N7" s="8" t="inlineStr">
        <is>
          <t>измени B5 → 4900; ответ в E5</t>
        </is>
      </c>
      <c r="O7" s="9">
        <f>IF(ISBLANK(E5),"—",IF(NOT(AND(B5=4900)),"✗ сначала измени B5 на 4900",IF(OR(NOT(_xlfn.ISFORMULA(E5))),"✗ нужна формула, а не готовый ответ",IF(NOT(AND(IFERROR(ABS(E5-(B5+C5-D5))&lt;=0.01*MAX(1,ABS(B5+C5-D5)),FALSE))),"✗ ответ неверный — проверь формулу и диапазон","✓ верно"))))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M9" s="10" t="inlineStr">
        <is>
          <t>Выполнено шагов:</t>
        </is>
      </c>
      <c r="O9" s="11">
        <f>COUNTIF(O2:O7,"✓*")&amp;" из 6"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O2:O7">
    <cfRule type="expression" priority="1" dxfId="0">
      <formula>LEFT(O2,1)="✓"</formula>
    </cfRule>
    <cfRule type="expression" priority="2" dxfId="1">
      <formula>LEFT(O2,1)="✗"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1" max="11"/>
    <col width="20" customWidth="1" min="12" max="12"/>
    <col width="60" customWidth="1" min="13" max="13"/>
    <col width="22" customWidth="1" min="14" max="14"/>
    <col width="34" customWidth="1" min="15" max="15"/>
  </cols>
  <sheetData>
    <row r="1">
      <c r="A1" s="5" t="inlineStr">
        <is>
          <t>Ученик</t>
        </is>
      </c>
      <c r="B1" s="5" t="inlineStr">
        <is>
          <t>Бег 60 м, с</t>
        </is>
      </c>
      <c r="C1" s="5" t="inlineStr">
        <is>
          <t>Прыжок, см</t>
        </is>
      </c>
      <c r="D1" s="5" t="inlineStr">
        <is>
          <t>Отжимания</t>
        </is>
      </c>
      <c r="E1" s="5" t="inlineStr">
        <is>
          <t>Бег и прыжок</t>
        </is>
      </c>
      <c r="F1" s="5" t="inlineStr">
        <is>
          <t>Все три нормы</t>
        </is>
      </c>
      <c r="G1" s="5" t="inlineStr">
        <is>
          <t>Итог</t>
        </is>
      </c>
      <c r="H1" s="5" t="inlineStr">
        <is>
          <t>Прыжок 150–180</t>
        </is>
      </c>
      <c r="I1" s="5" t="inlineStr">
        <is>
          <t>Пересдача?</t>
        </is>
      </c>
      <c r="K1" s="7" t="inlineStr">
        <is>
          <t>№</t>
        </is>
      </c>
      <c r="L1" s="7" t="inlineStr">
        <is>
          <t>Тип шага</t>
        </is>
      </c>
      <c r="M1" s="7" t="inlineStr">
        <is>
          <t>Задание</t>
        </is>
      </c>
      <c r="N1" s="7" t="inlineStr">
        <is>
          <t>Ячейка</t>
        </is>
      </c>
      <c r="O1" s="7" t="inlineStr">
        <is>
          <t>Проверка</t>
        </is>
      </c>
    </row>
    <row r="2">
      <c r="A2" s="6" t="inlineStr">
        <is>
          <t>Айдана</t>
        </is>
      </c>
      <c r="B2" s="6" t="n">
        <v>9.800000000000001</v>
      </c>
      <c r="C2" s="6" t="n">
        <v>155</v>
      </c>
      <c r="D2" s="6" t="n">
        <v>12</v>
      </c>
      <c r="E2" s="4" t="n"/>
      <c r="F2" s="4" t="n"/>
      <c r="G2" s="4" t="n"/>
      <c r="H2" s="4" t="n"/>
      <c r="I2" s="4" t="n"/>
      <c r="K2" s="8" t="n">
        <v>1</v>
      </c>
      <c r="L2" s="8" t="inlineStr">
        <is>
          <t>И из двух условий</t>
        </is>
      </c>
      <c r="M2" s="8" t="inlineStr">
        <is>
          <t>В E2 проверь две нормы: бег не дольше 10 с И прыжок не меньше 150 см. Протяни до E6. Что у Тимура (E3)?</t>
        </is>
      </c>
      <c r="N2" s="8" t="inlineStr">
        <is>
          <t>E2 → протяни до E6; ответ в E3</t>
        </is>
      </c>
      <c r="O2" s="9">
        <f>IF(ISBLANK(E2),"—",IF(OR(NOT(_xlfn.ISFORMULA(E2)),NOT(_xlfn.ISFORMULA(E3)),NOT(_xlfn.ISFORMULA(E4)),NOT(_xlfn.ISFORMULA(E5)),NOT(_xlfn.ISFORMULA(E6))),"✗ нужна формула, а не готовый ответ (протяни формулу вниз)",IF(NOT(OR(ISNUMBER(SEARCH("AND(",IFERROR(_xlfn.FORMULATEXT(E2),""))),(LEN(IFERROR(_xlfn.FORMULATEXT(E2),""))-LEN(SUBSTITUTE(UPPER(IFERROR(_xlfn.FORMULATEXT(E2),"")),"И(","")))/2&gt;(LEN(IFERROR(_xlfn.FORMULATEXT(E2),""))-LEN(SUBSTITUTE(UPPER(IFERROR(_xlfn.FORMULATEXT(E2),"")),"ЛИ(","")))/3)),"✗ нужна функция И",IF(NOT(AND(IFERROR(SUBSTITUTE(LOWER(E2&amp;""),"ё","е")=SUBSTITUTE(LOWER((AND(B2&lt;=10,C2&gt;=150))&amp;""),"ё","е"),FALSE),IFERROR(SUBSTITUTE(LOWER(E3&amp;""),"ё","е")=SUBSTITUTE(LOWER((AND(B3&lt;=10,C3&gt;=150))&amp;""),"ё","е"),FALSE),IFERROR(SUBSTITUTE(LOWER(E4&amp;""),"ё","е")=SUBSTITUTE(LOWER((AND(B4&lt;=10,C4&gt;=150))&amp;""),"ё","е"),FALSE),IFERROR(SUBSTITUTE(LOWER(E5&amp;""),"ё","е")=SUBSTITUTE(LOWER((AND(B5&lt;=10,C5&gt;=150))&amp;""),"ё","е"),FALSE),IFERROR(SUBSTITUTE(LOWER(E6&amp;""),"ё","е")=SUBSTITUTE(LOWER((AND(B6&lt;=10,C6&gt;=150))&amp;""),"ё","е"),FALSE))),"✗ ответ неверный — проверь формулу и диапазон","✓ верно"))))</f>
        <v/>
      </c>
    </row>
    <row r="3">
      <c r="A3" s="6" t="inlineStr">
        <is>
          <t>Тимур</t>
        </is>
      </c>
      <c r="B3" s="6" t="n">
        <v>10.4</v>
      </c>
      <c r="C3" s="6" t="n">
        <v>170</v>
      </c>
      <c r="D3" s="6" t="n">
        <v>25</v>
      </c>
      <c r="E3" s="4" t="n"/>
      <c r="F3" s="4" t="n"/>
      <c r="G3" s="4" t="n"/>
      <c r="H3" s="4" t="n"/>
      <c r="I3" s="4" t="n"/>
      <c r="K3" s="8" t="n">
        <v>2</v>
      </c>
      <c r="L3" s="8" t="inlineStr">
        <is>
          <t>И из трёх условий</t>
        </is>
      </c>
      <c r="M3" s="8" t="inlineStr">
        <is>
          <t>Добавь третью норму: отжиманий не меньше 15. В F2 — И с тремя условиями, протяни. Что у Армана (F5)?</t>
        </is>
      </c>
      <c r="N3" s="8" t="inlineStr">
        <is>
          <t>F2 → протяни до F6; ответ в F5</t>
        </is>
      </c>
      <c r="O3" s="9">
        <f>IF(ISBLANK(F2),"—",IF(OR(NOT(_xlfn.ISFORMULA(F2)),NOT(_xlfn.ISFORMULA(F3)),NOT(_xlfn.ISFORMULA(F4)),NOT(_xlfn.ISFORMULA(F5)),NOT(_xlfn.ISFORMULA(F6))),"✗ нужна формула, а не готовый ответ (протяни формулу вниз)",IF(NOT(OR(ISNUMBER(SEARCH("AND(",IFERROR(_xlfn.FORMULATEXT(F2),""))),(LEN(IFERROR(_xlfn.FORMULATEXT(F2),""))-LEN(SUBSTITUTE(UPPER(IFERROR(_xlfn.FORMULATEXT(F2),"")),"И(","")))/2&gt;(LEN(IFERROR(_xlfn.FORMULATEXT(F2),""))-LEN(SUBSTITUTE(UPPER(IFERROR(_xlfn.FORMULATEXT(F2),"")),"ЛИ(","")))/3)),"✗ нужна функция И",IF(NOT(AND(IFERROR(SUBSTITUTE(LOWER(F2&amp;""),"ё","е")=SUBSTITUTE(LOWER((AND(B2&lt;=10,C2&gt;=150,D2&gt;=15))&amp;""),"ё","е"),FALSE),IFERROR(SUBSTITUTE(LOWER(F3&amp;""),"ё","е")=SUBSTITUTE(LOWER((AND(B3&lt;=10,C3&gt;=150,D3&gt;=15))&amp;""),"ё","е"),FALSE),IFERROR(SUBSTITUTE(LOWER(F4&amp;""),"ё","е")=SUBSTITUTE(LOWER((AND(B4&lt;=10,C4&gt;=150,D4&gt;=15))&amp;""),"ё","е"),FALSE),IFERROR(SUBSTITUTE(LOWER(F5&amp;""),"ё","е")=SUBSTITUTE(LOWER((AND(B5&lt;=10,C5&gt;=150,D5&gt;=15))&amp;""),"ё","е"),FALSE),IFERROR(SUBSTITUTE(LOWER(F6&amp;""),"ё","е")=SUBSTITUTE(LOWER((AND(B6&lt;=10,C6&gt;=150,D6&gt;=15))&amp;""),"ё","е"),FALSE))),"✗ ответ неверный — проверь формулу и диапазон","✓ верно"))))</f>
        <v/>
      </c>
    </row>
    <row r="4">
      <c r="A4" s="6" t="inlineStr">
        <is>
          <t>Дана</t>
        </is>
      </c>
      <c r="B4" s="6" t="n">
        <v>9.199999999999999</v>
      </c>
      <c r="C4" s="6" t="n">
        <v>140</v>
      </c>
      <c r="D4" s="6" t="n">
        <v>18</v>
      </c>
      <c r="E4" s="4" t="n"/>
      <c r="F4" s="4" t="n"/>
      <c r="G4" s="4" t="n"/>
      <c r="H4" s="4" t="n"/>
      <c r="I4" s="4" t="n"/>
      <c r="K4" s="8" t="n">
        <v>3</v>
      </c>
      <c r="L4" s="8" t="inlineStr">
        <is>
          <t>ЕСЛИ + И</t>
        </is>
      </c>
      <c r="M4" s="8" t="inlineStr">
        <is>
          <t>В G2 выведи словом: все три нормы выполнены — «зачёт», иначе «пересдача». Протяни. Что у Айданы (G2)?</t>
        </is>
      </c>
      <c r="N4" s="8" t="inlineStr">
        <is>
          <t>G2 → протяни до G6; ответ в G2</t>
        </is>
      </c>
      <c r="O4" s="9">
        <f>IF(ISBLANK(G2),"—",IF(OR(NOT(_xlfn.ISFORMULA(G2)),NOT(_xlfn.ISFORMULA(G3)),NOT(_xlfn.ISFORMULA(G4)),NOT(_xlfn.ISFORMULA(G5)),NOT(_xlfn.ISFORMULA(G6))),"✗ нужна формула, а не готовый ответ (протяни формулу вниз)",IF(NOT(OR(ISNUMBER(SEARCH("ЕСЛИ(",IFERROR(_xlfn.FORMULATEXT(G2),""))),ISNUMBER(SEARCH("IF(",IFERROR(_xlfn.FORMULATEXT(G2),""))))),"✗ нужна функция ЕСЛИ",IF(NOT(OR(ISNUMBER(SEARCH("AND(",IFERROR(_xlfn.FORMULATEXT(G2),""))),(LEN(IFERROR(_xlfn.FORMULATEXT(G2),""))-LEN(SUBSTITUTE(UPPER(IFERROR(_xlfn.FORMULATEXT(G2),"")),"И(","")))/2&gt;(LEN(IFERROR(_xlfn.FORMULATEXT(G2),""))-LEN(SUBSTITUTE(UPPER(IFERROR(_xlfn.FORMULATEXT(G2),"")),"ЛИ(","")))/3)),"✗ нужна функция И",IF(NOT(AND(IFERROR(SUBSTITUTE(LOWER(G2&amp;""),"ё","е")=SUBSTITUTE(LOWER((IF(AND(B2&lt;=10,C2&gt;=150,D2&gt;=15),"зачёт","пересдача"))&amp;""),"ё","е"),FALSE),IFERROR(SUBSTITUTE(LOWER(G3&amp;""),"ё","е")=SUBSTITUTE(LOWER((IF(AND(B3&lt;=10,C3&gt;=150,D3&gt;=15),"зачёт","пересдача"))&amp;""),"ё","е"),FALSE),IFERROR(SUBSTITUTE(LOWER(G4&amp;""),"ё","е")=SUBSTITUTE(LOWER((IF(AND(B4&lt;=10,C4&gt;=150,D4&gt;=15),"зачёт","пересдача"))&amp;""),"ё","е"),FALSE),IFERROR(SUBSTITUTE(LOWER(G5&amp;""),"ё","е")=SUBSTITUTE(LOWER((IF(AND(B5&lt;=10,C5&gt;=150,D5&gt;=15),"зачёт","пересдача"))&amp;""),"ё","е"),FALSE),IFERROR(SUBSTITUTE(LOWER(G6&amp;""),"ё","е")=SUBSTITUTE(LOWER((IF(AND(B6&lt;=10,C6&gt;=150,D6&gt;=15),"зачёт","пересдача"))&amp;""),"ё","е"),FALSE))),"✗ ответ неверный — проверь формулу и диапазон","✓ верно")))))</f>
        <v/>
      </c>
    </row>
    <row r="5">
      <c r="A5" s="6" t="inlineStr">
        <is>
          <t>Арман</t>
        </is>
      </c>
      <c r="B5" s="6" t="n">
        <v>8.9</v>
      </c>
      <c r="C5" s="6" t="n">
        <v>182</v>
      </c>
      <c r="D5" s="6" t="n">
        <v>30</v>
      </c>
      <c r="E5" s="4" t="n"/>
      <c r="F5" s="4" t="n"/>
      <c r="G5" s="4" t="n"/>
      <c r="H5" s="4" t="n"/>
      <c r="I5" s="4" t="n"/>
      <c r="K5" s="8" t="n">
        <v>4</v>
      </c>
      <c r="L5" s="8" t="inlineStr">
        <is>
          <t>промежуток</t>
        </is>
      </c>
      <c r="M5" s="8" t="inlineStr">
        <is>
          <t>Прыжок «в норме», если он от 150 до 180 см включительно. Проверь в H2 через И и протяни. Что у Армана (H5)?</t>
        </is>
      </c>
      <c r="N5" s="8" t="inlineStr">
        <is>
          <t>H2 → протяни до H6; ответ в H5</t>
        </is>
      </c>
      <c r="O5" s="9">
        <f>IF(ISBLANK(H2),"—",IF(OR(NOT(_xlfn.ISFORMULA(H2)),NOT(_xlfn.ISFORMULA(H3)),NOT(_xlfn.ISFORMULA(H4)),NOT(_xlfn.ISFORMULA(H5)),NOT(_xlfn.ISFORMULA(H6))),"✗ нужна формула, а не готовый ответ (протяни формулу вниз)",IF(NOT(OR(ISNUMBER(SEARCH("AND(",IFERROR(_xlfn.FORMULATEXT(H2),""))),(LEN(IFERROR(_xlfn.FORMULATEXT(H2),""))-LEN(SUBSTITUTE(UPPER(IFERROR(_xlfn.FORMULATEXT(H2),"")),"И(","")))/2&gt;(LEN(IFERROR(_xlfn.FORMULATEXT(H2),""))-LEN(SUBSTITUTE(UPPER(IFERROR(_xlfn.FORMULATEXT(H2),"")),"ЛИ(","")))/3)),"✗ нужна функция И",IF(NOT(AND(IFERROR(SUBSTITUTE(LOWER(H2&amp;""),"ё","е")=SUBSTITUTE(LOWER((AND(C2&gt;=150,C2&lt;=180))&amp;""),"ё","е"),FALSE),IFERROR(SUBSTITUTE(LOWER(H3&amp;""),"ё","е")=SUBSTITUTE(LOWER((AND(C3&gt;=150,C3&lt;=180))&amp;""),"ё","е"),FALSE),IFERROR(SUBSTITUTE(LOWER(H4&amp;""),"ё","е")=SUBSTITUTE(LOWER((AND(C4&gt;=150,C4&lt;=180))&amp;""),"ё","е"),FALSE),IFERROR(SUBSTITUTE(LOWER(H5&amp;""),"ё","е")=SUBSTITUTE(LOWER((AND(C5&gt;=150,C5&lt;=180))&amp;""),"ё","е"),FALSE),IFERROR(SUBSTITUTE(LOWER(H6&amp;""),"ё","е")=SUBSTITUTE(LOWER((AND(C6&gt;=150,C6&lt;=180))&amp;""),"ё","е"),FALSE))),"✗ ответ неверный — проверь формулу и диапазон","✓ верно"))))</f>
        <v/>
      </c>
    </row>
    <row r="6">
      <c r="A6" s="6" t="inlineStr">
        <is>
          <t>Мадина</t>
        </is>
      </c>
      <c r="B6" s="6" t="n">
        <v>11</v>
      </c>
      <c r="C6" s="6" t="n">
        <v>130</v>
      </c>
      <c r="D6" s="6" t="n">
        <v>8</v>
      </c>
      <c r="E6" s="4" t="n"/>
      <c r="F6" s="4" t="n"/>
      <c r="G6" s="4" t="n"/>
      <c r="H6" s="4" t="n"/>
      <c r="I6" s="4" t="n"/>
      <c r="K6" s="8" t="n">
        <v>5</v>
      </c>
      <c r="L6" s="8" t="inlineStr">
        <is>
          <t>НЕ</t>
        </is>
      </c>
      <c r="M6" s="8" t="inlineStr">
        <is>
          <t>В I2 получи ИСТИНА для тех, кому нужна пересдача: НЕ(все три нормы). Протяни. Что у Мадины (I6)?</t>
        </is>
      </c>
      <c r="N6" s="8" t="inlineStr">
        <is>
          <t>I2 → протяни до I6; ответ в I6</t>
        </is>
      </c>
      <c r="O6" s="9">
        <f>IF(ISBLANK(I2),"—",IF(OR(NOT(_xlfn.ISFORMULA(I2)),NOT(_xlfn.ISFORMULA(I3)),NOT(_xlfn.ISFORMULA(I4)),NOT(_xlfn.ISFORMULA(I5)),NOT(_xlfn.ISFORMULA(I6))),"✗ нужна формула, а не готовый ответ (протяни формулу вниз)",IF(NOT(OR(ISNUMBER(SEARCH("НЕ(",IFERROR(_xlfn.FORMULATEXT(I2),""))),ISNUMBER(SEARCH("NOT(",IFERROR(_xlfn.FORMULATEXT(I2),""))))),"✗ нужна функция НЕ",IF(NOT(AND(IFERROR(SUBSTITUTE(LOWER(I2&amp;""),"ё","е")=SUBSTITUTE(LOWER((NOT(F2))&amp;""),"ё","е"),FALSE),IFERROR(SUBSTITUTE(LOWER(I3&amp;""),"ё","е")=SUBSTITUTE(LOWER((NOT(F3))&amp;""),"ё","е"),FALSE),IFERROR(SUBSTITUTE(LOWER(I4&amp;""),"ё","е")=SUBSTITUTE(LOWER((NOT(F4))&amp;""),"ё","е"),FALSE),IFERROR(SUBSTITUTE(LOWER(I5&amp;""),"ё","е")=SUBSTITUTE(LOWER((NOT(F5))&amp;""),"ё","е"),FALSE),IFERROR(SUBSTITUTE(LOWER(I6&amp;""),"ё","е")=SUBSTITUTE(LOWER((NOT(F6))&amp;""),"ё","е"),FALSE))),"✗ ответ неверный — проверь формулу и диапазон","✓ верно"))))</f>
        <v/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K7" s="8" t="n">
        <v>6</v>
      </c>
      <c r="L7" s="8" t="inlineStr">
        <is>
          <t>сложное: измени данные</t>
        </is>
      </c>
      <c r="M7" s="8" t="inlineStr">
        <is>
          <t>Айдана пересдала отжимания — 15 раз. Измени D2. Что теперь в G2?</t>
        </is>
      </c>
      <c r="N7" s="8" t="inlineStr">
        <is>
          <t>измени D2 → 15; ответ в G2</t>
        </is>
      </c>
      <c r="O7" s="9">
        <f>IF(ISBLANK(G2),"—",IF(NOT(AND(D2=15)),"✗ сначала измени D2 на 15",IF(OR(NOT(_xlfn.ISFORMULA(G2))),"✗ нужна формула, а не готовый ответ",IF(NOT(AND(IFERROR(SUBSTITUTE(LOWER(G2&amp;""),"ё","е")=SUBSTITUTE(LOWER((IF(AND(B2&lt;=10,C2&gt;=150,D2&gt;=15),"зачёт","пересдача"))&amp;""),"ё","е"),FALSE))),"✗ ответ неверный — проверь формулу и диапазон","✓ верно"))))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M9" s="10" t="inlineStr">
        <is>
          <t>Выполнено шагов:</t>
        </is>
      </c>
      <c r="O9" s="11">
        <f>COUNTIF(O2:O7,"✓*")&amp;" из 6"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O2:O7">
    <cfRule type="expression" priority="1" dxfId="0">
      <formula>LEFT(O2,1)="✓"</formula>
    </cfRule>
    <cfRule type="expression" priority="2" dxfId="1">
      <formula>LEFT(O2,1)="✗"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1" max="11"/>
    <col width="20" customWidth="1" min="12" max="12"/>
    <col width="60" customWidth="1" min="13" max="13"/>
    <col width="22" customWidth="1" min="14" max="14"/>
    <col width="34" customWidth="1" min="15" max="15"/>
  </cols>
  <sheetData>
    <row r="1">
      <c r="A1" s="5" t="inlineStr">
        <is>
          <t>Зритель</t>
        </is>
      </c>
      <c r="B1" s="5" t="inlineStr">
        <is>
          <t>Возраст</t>
        </is>
      </c>
      <c r="C1" s="5" t="inlineStr">
        <is>
          <t>День</t>
        </is>
      </c>
      <c r="D1" s="5" t="inlineStr">
        <is>
          <t>Льгота</t>
        </is>
      </c>
      <c r="E1" s="5" t="inlineStr">
        <is>
          <t>Выходной</t>
        </is>
      </c>
      <c r="F1" s="5" t="inlineStr">
        <is>
          <t>Цена, тг</t>
        </is>
      </c>
      <c r="G1" s="5" t="inlineStr">
        <is>
          <t>К оплате, тг</t>
        </is>
      </c>
      <c r="H1" s="5" t="inlineStr">
        <is>
          <t>Будний день</t>
        </is>
      </c>
      <c r="I1" s="6" t="n"/>
      <c r="K1" s="7" t="inlineStr">
        <is>
          <t>№</t>
        </is>
      </c>
      <c r="L1" s="7" t="inlineStr">
        <is>
          <t>Тип шага</t>
        </is>
      </c>
      <c r="M1" s="7" t="inlineStr">
        <is>
          <t>Задание</t>
        </is>
      </c>
      <c r="N1" s="7" t="inlineStr">
        <is>
          <t>Ячейка</t>
        </is>
      </c>
      <c r="O1" s="7" t="inlineStr">
        <is>
          <t>Проверка</t>
        </is>
      </c>
    </row>
    <row r="2">
      <c r="A2" s="6" t="inlineStr">
        <is>
          <t>Айдана</t>
        </is>
      </c>
      <c r="B2" s="6" t="n">
        <v>13</v>
      </c>
      <c r="C2" s="6" t="inlineStr">
        <is>
          <t>пн</t>
        </is>
      </c>
      <c r="D2" s="4" t="n"/>
      <c r="E2" s="4" t="n"/>
      <c r="F2" s="4" t="n"/>
      <c r="G2" s="4" t="n"/>
      <c r="H2" s="4" t="n"/>
      <c r="I2" s="6" t="n"/>
      <c r="K2" s="8" t="n">
        <v>1</v>
      </c>
      <c r="L2" s="8" t="inlineStr">
        <is>
          <t>ИЛИ: возраст</t>
        </is>
      </c>
      <c r="M2" s="8" t="inlineStr">
        <is>
          <t>Льгота — у детей младше 7 лет ИЛИ у зрителей старше 65. В D2 — ИЛИ, протяни до D7. Что у Серика (D3)?</t>
        </is>
      </c>
      <c r="N2" s="8" t="inlineStr">
        <is>
          <t>D2 → протяни до D7; ответ в D3</t>
        </is>
      </c>
      <c r="O2" s="9">
        <f>IF(ISBLANK(D2),"—",IF(OR(NOT(_xlfn.ISFORMULA(D2)),NOT(_xlfn.ISFORMULA(D3)),NOT(_xlfn.ISFORMULA(D4)),NOT(_xlfn.ISFORMULA(D5)),NOT(_xlfn.ISFORMULA(D6)),NOT(_xlfn.ISFORMULA(D7))),"✗ нужна формула, а не готовый ответ (протяни формулу вниз)",IF(NOT(OR(ISNUMBER(SEARCH("ИЛИ(",IFERROR(_xlfn.FORMULATEXT(D2),""))),ISNUMBER(SEARCH("OR(",IFERROR(_xlfn.FORMULATEXT(D2),""))))),"✗ нужна функция ИЛИ",IF(NOT(AND(IFERROR(SUBSTITUTE(LOWER(D2&amp;""),"ё","е")=SUBSTITUTE(LOWER((OR(B2&lt;7,B2&gt;65))&amp;""),"ё","е"),FALSE),IFERROR(SUBSTITUTE(LOWER(D3&amp;""),"ё","е")=SUBSTITUTE(LOWER((OR(B3&lt;7,B3&gt;65))&amp;""),"ё","е"),FALSE),IFERROR(SUBSTITUTE(LOWER(D4&amp;""),"ё","е")=SUBSTITUTE(LOWER((OR(B4&lt;7,B4&gt;65))&amp;""),"ё","е"),FALSE),IFERROR(SUBSTITUTE(LOWER(D5&amp;""),"ё","е")=SUBSTITUTE(LOWER((OR(B5&lt;7,B5&gt;65))&amp;""),"ё","е"),FALSE),IFERROR(SUBSTITUTE(LOWER(D6&amp;""),"ё","е")=SUBSTITUTE(LOWER((OR(B6&lt;7,B6&gt;65))&amp;""),"ё","е"),FALSE),IFERROR(SUBSTITUTE(LOWER(D7&amp;""),"ё","е")=SUBSTITUTE(LOWER((OR(B7&lt;7,B7&gt;65))&amp;""),"ё","е"),FALSE))),"✗ ответ неверный — проверь формулу и диапазон","✓ верно"))))</f>
        <v/>
      </c>
    </row>
    <row r="3">
      <c r="A3" s="6" t="inlineStr">
        <is>
          <t>Серик</t>
        </is>
      </c>
      <c r="B3" s="6" t="n">
        <v>68</v>
      </c>
      <c r="C3" s="6" t="inlineStr">
        <is>
          <t>ср</t>
        </is>
      </c>
      <c r="D3" s="4" t="n"/>
      <c r="E3" s="4" t="n"/>
      <c r="F3" s="4" t="n"/>
      <c r="G3" s="4" t="n"/>
      <c r="H3" s="4" t="n"/>
      <c r="I3" s="6" t="n"/>
      <c r="K3" s="8" t="n">
        <v>2</v>
      </c>
      <c r="L3" s="8" t="inlineStr">
        <is>
          <t>ИЛИ с текстом</t>
        </is>
      </c>
      <c r="M3" s="8" t="inlineStr">
        <is>
          <t>Выходной — если день «сб» ИЛИ «вс». Проверь в E2, протяни. Что у Даны (E5)?</t>
        </is>
      </c>
      <c r="N3" s="8" t="inlineStr">
        <is>
          <t>E2 → протяни до E7; ответ в E5</t>
        </is>
      </c>
      <c r="O3" s="9">
        <f>IF(ISBLANK(E2),"—",IF(OR(NOT(_xlfn.ISFORMULA(E2)),NOT(_xlfn.ISFORMULA(E3)),NOT(_xlfn.ISFORMULA(E4)),NOT(_xlfn.ISFORMULA(E5)),NOT(_xlfn.ISFORMULA(E6)),NOT(_xlfn.ISFORMULA(E7))),"✗ нужна формула, а не готовый ответ (протяни формулу вниз)",IF(NOT(OR(ISNUMBER(SEARCH("ИЛИ(",IFERROR(_xlfn.FORMULATEXT(E2),""))),ISNUMBER(SEARCH("OR(",IFERROR(_xlfn.FORMULATEXT(E2),""))))),"✗ нужна функция ИЛИ",IF(NOT(AND(IFERROR(SUBSTITUTE(LOWER(E2&amp;""),"ё","е")=SUBSTITUTE(LOWER((OR(C2="сб",C2="вс"))&amp;""),"ё","е"),FALSE),IFERROR(SUBSTITUTE(LOWER(E3&amp;""),"ё","е")=SUBSTITUTE(LOWER((OR(C3="сб",C3="вс"))&amp;""),"ё","е"),FALSE),IFERROR(SUBSTITUTE(LOWER(E4&amp;""),"ё","е")=SUBSTITUTE(LOWER((OR(C4="сб",C4="вс"))&amp;""),"ё","е"),FALSE),IFERROR(SUBSTITUTE(LOWER(E5&amp;""),"ё","е")=SUBSTITUTE(LOWER((OR(C5="сб",C5="вс"))&amp;""),"ё","е"),FALSE),IFERROR(SUBSTITUTE(LOWER(E6&amp;""),"ё","е")=SUBSTITUTE(LOWER((OR(C6="сб",C6="вс"))&amp;""),"ё","е"),FALSE),IFERROR(SUBSTITUTE(LOWER(E7&amp;""),"ё","е")=SUBSTITUTE(LOWER((OR(C7="сб",C7="вс"))&amp;""),"ё","е"),FALSE))),"✗ ответ неверный — проверь формулу и диапазон","✓ верно"))))</f>
        <v/>
      </c>
    </row>
    <row r="4">
      <c r="A4" s="6" t="inlineStr">
        <is>
          <t>Тимур</t>
        </is>
      </c>
      <c r="B4" s="6" t="n">
        <v>6</v>
      </c>
      <c r="C4" s="6" t="inlineStr">
        <is>
          <t>сб</t>
        </is>
      </c>
      <c r="D4" s="4" t="n"/>
      <c r="E4" s="4" t="n"/>
      <c r="F4" s="4" t="n"/>
      <c r="G4" s="4" t="n"/>
      <c r="H4" s="4" t="n"/>
      <c r="I4" s="6" t="n"/>
      <c r="K4" s="8" t="n">
        <v>3</v>
      </c>
      <c r="L4" s="8" t="inlineStr">
        <is>
          <t>ЕСЛИ: цена</t>
        </is>
      </c>
      <c r="M4" s="8" t="inlineStr">
        <is>
          <t>Цена билета: в выходной 2500 тг, в будни 1800 тг. Запиши в F2 через ЕСЛИ (условие — ячейка E2) и протяни. Какая цена у Тимура (F4)?</t>
        </is>
      </c>
      <c r="N4" s="8" t="inlineStr">
        <is>
          <t>F2 → протяни до F7; ответ в F4</t>
        </is>
      </c>
      <c r="O4" s="9">
        <f>IF(ISBLANK(F2),"—",IF(OR(NOT(_xlfn.ISFORMULA(F2)),NOT(_xlfn.ISFORMULA(F3)),NOT(_xlfn.ISFORMULA(F4)),NOT(_xlfn.ISFORMULA(F5)),NOT(_xlfn.ISFORMULA(F6)),NOT(_xlfn.ISFORMULA(F7))),"✗ нужна формула, а не готовый ответ (протяни формулу вниз)",IF(NOT(OR(ISNUMBER(SEARCH("ЕСЛИ(",IFERROR(_xlfn.FORMULATEXT(F2),""))),ISNUMBER(SEARCH("IF(",IFERROR(_xlfn.FORMULATEXT(F2),""))))),"✗ нужна функция ЕСЛИ",IF(NOT(AND(IFERROR(ABS(F2-(IF(E2,2500,1800)))&lt;=0.01*MAX(1,ABS(IF(E2,2500,1800))),FALSE),IFERROR(ABS(F3-(IF(E3,2500,1800)))&lt;=0.01*MAX(1,ABS(IF(E3,2500,1800))),FALSE),IFERROR(ABS(F4-(IF(E4,2500,1800)))&lt;=0.01*MAX(1,ABS(IF(E4,2500,1800))),FALSE),IFERROR(ABS(F5-(IF(E5,2500,1800)))&lt;=0.01*MAX(1,ABS(IF(E5,2500,1800))),FALSE),IFERROR(ABS(F6-(IF(E6,2500,1800)))&lt;=0.01*MAX(1,ABS(IF(E6,2500,1800))),FALSE),IFERROR(ABS(F7-(IF(E7,2500,1800)))&lt;=0.01*MAX(1,ABS(IF(E7,2500,1800))),FALSE))),"✗ ответ неверный — проверь формулу и диапазон","✓ верно"))))</f>
        <v/>
      </c>
    </row>
    <row r="5">
      <c r="A5" s="6" t="inlineStr">
        <is>
          <t>Дана</t>
        </is>
      </c>
      <c r="B5" s="6" t="n">
        <v>25</v>
      </c>
      <c r="C5" s="6" t="inlineStr">
        <is>
          <t>вс</t>
        </is>
      </c>
      <c r="D5" s="4" t="n"/>
      <c r="E5" s="4" t="n"/>
      <c r="F5" s="4" t="n"/>
      <c r="G5" s="4" t="n"/>
      <c r="H5" s="4" t="n"/>
      <c r="I5" s="6" t="n"/>
      <c r="K5" s="8" t="n">
        <v>4</v>
      </c>
      <c r="L5" s="8" t="inlineStr">
        <is>
          <t>ЕСЛИ: льгота</t>
        </is>
      </c>
      <c r="M5" s="8" t="inlineStr">
        <is>
          <t>Со льготой платят половину цены. В G2: если в D2 ИСТИНА — F2/2, иначе F2. Протяни. Сколько платит Тимур (G4)?</t>
        </is>
      </c>
      <c r="N5" s="8" t="inlineStr">
        <is>
          <t>G2 → протяни до G7; ответ в G4</t>
        </is>
      </c>
      <c r="O5" s="9">
        <f>IF(ISBLANK(G2),"—",IF(OR(NOT(_xlfn.ISFORMULA(G2)),NOT(_xlfn.ISFORMULA(G3)),NOT(_xlfn.ISFORMULA(G4)),NOT(_xlfn.ISFORMULA(G5)),NOT(_xlfn.ISFORMULA(G6)),NOT(_xlfn.ISFORMULA(G7))),"✗ нужна формула, а не готовый ответ (протяни формулу вниз)",IF(NOT(OR(ISNUMBER(SEARCH("ЕСЛИ(",IFERROR(_xlfn.FORMULATEXT(G2),""))),ISNUMBER(SEARCH("IF(",IFERROR(_xlfn.FORMULATEXT(G2),""))))),"✗ нужна функция ЕСЛИ",IF(NOT(AND(IFERROR(ABS(G2-(IF(D2,F2/2,F2)))&lt;=0.01*MAX(1,ABS(IF(D2,F2/2,F2))),FALSE),IFERROR(ABS(G3-(IF(D3,F3/2,F3)))&lt;=0.01*MAX(1,ABS(IF(D3,F3/2,F3))),FALSE),IFERROR(ABS(G4-(IF(D4,F4/2,F4)))&lt;=0.01*MAX(1,ABS(IF(D4,F4/2,F4))),FALSE),IFERROR(ABS(G5-(IF(D5,F5/2,F5)))&lt;=0.01*MAX(1,ABS(IF(D5,F5/2,F5))),FALSE),IFERROR(ABS(G6-(IF(D6,F6/2,F6)))&lt;=0.01*MAX(1,ABS(IF(D6,F6/2,F6))),FALSE),IFERROR(ABS(G7-(IF(D7,F7/2,F7)))&lt;=0.01*MAX(1,ABS(IF(D7,F7/2,F7))),FALSE))),"✗ ответ неверный — проверь формулу и диапазон","✓ верно"))))</f>
        <v/>
      </c>
    </row>
    <row r="6">
      <c r="A6" s="6" t="inlineStr">
        <is>
          <t>Арман</t>
        </is>
      </c>
      <c r="B6" s="6" t="n">
        <v>30</v>
      </c>
      <c r="C6" s="6" t="inlineStr">
        <is>
          <t>вт</t>
        </is>
      </c>
      <c r="D6" s="4" t="n"/>
      <c r="E6" s="4" t="n"/>
      <c r="F6" s="4" t="n"/>
      <c r="G6" s="4" t="n"/>
      <c r="H6" s="4" t="n"/>
      <c r="I6" s="6" t="n"/>
      <c r="K6" s="8" t="n">
        <v>5</v>
      </c>
      <c r="L6" s="8" t="inlineStr">
        <is>
          <t>НЕ</t>
        </is>
      </c>
      <c r="M6" s="8" t="inlineStr">
        <is>
          <t>Будний день — это НЕ выходной. Запиши в H2 через НЕ, протяни. Что у Армана (H6)?</t>
        </is>
      </c>
      <c r="N6" s="8" t="inlineStr">
        <is>
          <t>H2 → протяни до H7; ответ в H6</t>
        </is>
      </c>
      <c r="O6" s="9">
        <f>IF(ISBLANK(H2),"—",IF(OR(NOT(_xlfn.ISFORMULA(H2)),NOT(_xlfn.ISFORMULA(H3)),NOT(_xlfn.ISFORMULA(H4)),NOT(_xlfn.ISFORMULA(H5)),NOT(_xlfn.ISFORMULA(H6)),NOT(_xlfn.ISFORMULA(H7))),"✗ нужна формула, а не готовый ответ (протяни формулу вниз)",IF(NOT(OR(ISNUMBER(SEARCH("НЕ(",IFERROR(_xlfn.FORMULATEXT(H2),""))),ISNUMBER(SEARCH("NOT(",IFERROR(_xlfn.FORMULATEXT(H2),""))))),"✗ нужна функция НЕ",IF(NOT(AND(IFERROR(SUBSTITUTE(LOWER(H2&amp;""),"ё","е")=SUBSTITUTE(LOWER((NOT(E2))&amp;""),"ё","е"),FALSE),IFERROR(SUBSTITUTE(LOWER(H3&amp;""),"ё","е")=SUBSTITUTE(LOWER((NOT(E3))&amp;""),"ё","е"),FALSE),IFERROR(SUBSTITUTE(LOWER(H4&amp;""),"ё","е")=SUBSTITUTE(LOWER((NOT(E4))&amp;""),"ё","е"),FALSE),IFERROR(SUBSTITUTE(LOWER(H5&amp;""),"ё","е")=SUBSTITUTE(LOWER((NOT(E5))&amp;""),"ё","е"),FALSE),IFERROR(SUBSTITUTE(LOWER(H6&amp;""),"ё","е")=SUBSTITUTE(LOWER((NOT(E6))&amp;""),"ё","е"),FALSE),IFERROR(SUBSTITUTE(LOWER(H7&amp;""),"ё","е")=SUBSTITUTE(LOWER((NOT(E7))&amp;""),"ё","е"),FALSE))),"✗ ответ неверный — проверь формулу и диапазон","✓ верно"))))</f>
        <v/>
      </c>
    </row>
    <row r="7">
      <c r="A7" s="6" t="inlineStr">
        <is>
          <t>Мадина</t>
        </is>
      </c>
      <c r="B7" s="6" t="n">
        <v>15</v>
      </c>
      <c r="C7" s="6" t="inlineStr">
        <is>
          <t>сб</t>
        </is>
      </c>
      <c r="D7" s="4" t="n"/>
      <c r="E7" s="4" t="n"/>
      <c r="F7" s="4" t="n"/>
      <c r="G7" s="4" t="n"/>
      <c r="H7" s="4" t="n"/>
      <c r="I7" s="6" t="n"/>
      <c r="K7" s="8" t="n">
        <v>6</v>
      </c>
      <c r="L7" s="8" t="inlineStr">
        <is>
          <t>сложное: выручка</t>
        </is>
      </c>
      <c r="M7" s="8" t="inlineStr">
        <is>
          <t>Сколько денег кинотеатр получит от всех зрителей? Сложи G2:G7 в G8.</t>
        </is>
      </c>
      <c r="N7" s="8" t="inlineStr">
        <is>
          <t>G8</t>
        </is>
      </c>
      <c r="O7" s="9">
        <f>IF(ISBLANK(G8),"—",IF(OR(NOT(_xlfn.ISFORMULA(G8))),"✗ нужна формула, а не готовый ответ",IF(NOT(OR(ISNUMBER(SEARCH("СУММ(",IFERROR(_xlfn.FORMULATEXT(G8),""))),ISNUMBER(SEARCH("SUM(",IFERROR(_xlfn.FORMULATEXT(G8),""))))),"✗ нужна функция СУММ",IF(NOT(AND(IFERROR(ABS(G8-(SUM(G2:G7)))&lt;=0.01*MAX(1,ABS(SUM(G2:G7))),FALSE))),"✗ ответ неверный — проверь формулу и диапазон","✓ верно"))))</f>
        <v/>
      </c>
    </row>
    <row r="8">
      <c r="A8" s="6" t="inlineStr">
        <is>
          <t>Выручка</t>
        </is>
      </c>
      <c r="B8" s="6" t="n"/>
      <c r="C8" s="6" t="n"/>
      <c r="D8" s="6" t="n"/>
      <c r="E8" s="6" t="n"/>
      <c r="F8" s="6" t="n"/>
      <c r="G8" s="4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M9" s="10" t="inlineStr">
        <is>
          <t>Выполнено шагов:</t>
        </is>
      </c>
      <c r="O9" s="11">
        <f>COUNTIF(O2:O7,"✓*")&amp;" из 6"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O2:O7">
    <cfRule type="expression" priority="1" dxfId="0">
      <formula>LEFT(O2,1)="✓"</formula>
    </cfRule>
    <cfRule type="expression" priority="2" dxfId="1">
      <formula>LEFT(O2,1)="✗"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1" max="11"/>
    <col width="20" customWidth="1" min="12" max="12"/>
    <col width="60" customWidth="1" min="13" max="13"/>
    <col width="22" customWidth="1" min="14" max="14"/>
    <col width="34" customWidth="1" min="15" max="15"/>
  </cols>
  <sheetData>
    <row r="1">
      <c r="A1" s="5" t="inlineStr">
        <is>
          <t>Студент</t>
        </is>
      </c>
      <c r="B1" s="5" t="inlineStr">
        <is>
          <t>Средний балл</t>
        </is>
      </c>
      <c r="C1" s="5" t="inlineStr">
        <is>
          <t>Пропуски</t>
        </is>
      </c>
      <c r="D1" s="5" t="inlineStr">
        <is>
          <t>Олимпиада</t>
        </is>
      </c>
      <c r="E1" s="5" t="inlineStr">
        <is>
          <t>Стипендия</t>
        </is>
      </c>
      <c r="F1" s="5" t="inlineStr">
        <is>
          <t>Повышенная</t>
        </is>
      </c>
      <c r="G1" s="5" t="inlineStr">
        <is>
          <t>Похвальный лист</t>
        </is>
      </c>
      <c r="H1" s="5" t="inlineStr">
        <is>
          <t>Беседа</t>
        </is>
      </c>
      <c r="I1" s="5" t="inlineStr">
        <is>
          <t>Сумма, тг</t>
        </is>
      </c>
      <c r="K1" s="7" t="inlineStr">
        <is>
          <t>№</t>
        </is>
      </c>
      <c r="L1" s="7" t="inlineStr">
        <is>
          <t>Тип шага</t>
        </is>
      </c>
      <c r="M1" s="7" t="inlineStr">
        <is>
          <t>Задание</t>
        </is>
      </c>
      <c r="N1" s="7" t="inlineStr">
        <is>
          <t>Ячейка</t>
        </is>
      </c>
      <c r="O1" s="7" t="inlineStr">
        <is>
          <t>Проверка</t>
        </is>
      </c>
    </row>
    <row r="2">
      <c r="A2" s="6" t="inlineStr">
        <is>
          <t>Айдана</t>
        </is>
      </c>
      <c r="B2" s="6" t="n">
        <v>4.8</v>
      </c>
      <c r="C2" s="6" t="n">
        <v>2</v>
      </c>
      <c r="D2" s="6" t="inlineStr">
        <is>
          <t>да</t>
        </is>
      </c>
      <c r="E2" s="4" t="n"/>
      <c r="F2" s="4" t="n"/>
      <c r="G2" s="4" t="n"/>
      <c r="H2" s="4" t="n"/>
      <c r="I2" s="4" t="n"/>
      <c r="K2" s="8" t="n">
        <v>1</v>
      </c>
      <c r="L2" s="8" t="inlineStr">
        <is>
          <t>И</t>
        </is>
      </c>
      <c r="M2" s="8" t="inlineStr">
        <is>
          <t>Стипендию дают, если средний балл не ниже 4,5 И пропусков не больше 5. В E2 — И, протяни до E6. Что у Армана (E5)?</t>
        </is>
      </c>
      <c r="N2" s="8" t="inlineStr">
        <is>
          <t>E2 → протяни до E6; ответ в E5</t>
        </is>
      </c>
      <c r="O2" s="9">
        <f>IF(ISBLANK(E2),"—",IF(OR(NOT(_xlfn.ISFORMULA(E2)),NOT(_xlfn.ISFORMULA(E3)),NOT(_xlfn.ISFORMULA(E4)),NOT(_xlfn.ISFORMULA(E5)),NOT(_xlfn.ISFORMULA(E6))),"✗ нужна формула, а не готовый ответ (протяни формулу вниз)",IF(NOT(OR(ISNUMBER(SEARCH("AND(",IFERROR(_xlfn.FORMULATEXT(E2),""))),(LEN(IFERROR(_xlfn.FORMULATEXT(E2),""))-LEN(SUBSTITUTE(UPPER(IFERROR(_xlfn.FORMULATEXT(E2),"")),"И(","")))/2&gt;(LEN(IFERROR(_xlfn.FORMULATEXT(E2),""))-LEN(SUBSTITUTE(UPPER(IFERROR(_xlfn.FORMULATEXT(E2),"")),"ЛИ(","")))/3)),"✗ нужна функция И",IF(NOT(AND(IFERROR(SUBSTITUTE(LOWER(E2&amp;""),"ё","е")=SUBSTITUTE(LOWER((AND(B2&gt;=4.5,C2&lt;=5))&amp;""),"ё","е"),FALSE),IFERROR(SUBSTITUTE(LOWER(E3&amp;""),"ё","е")=SUBSTITUTE(LOWER((AND(B3&gt;=4.5,C3&lt;=5))&amp;""),"ё","е"),FALSE),IFERROR(SUBSTITUTE(LOWER(E4&amp;""),"ё","е")=SUBSTITUTE(LOWER((AND(B4&gt;=4.5,C4&lt;=5))&amp;""),"ё","е"),FALSE),IFERROR(SUBSTITUTE(LOWER(E5&amp;""),"ё","е")=SUBSTITUTE(LOWER((AND(B5&gt;=4.5,C5&lt;=5))&amp;""),"ё","е"),FALSE),IFERROR(SUBSTITUTE(LOWER(E6&amp;""),"ё","е")=SUBSTITUTE(LOWER((AND(B6&gt;=4.5,C6&lt;=5))&amp;""),"ё","е"),FALSE))),"✗ ответ неверный — проверь формулу и диапазон","✓ верно"))))</f>
        <v/>
      </c>
    </row>
    <row r="3">
      <c r="A3" s="6" t="inlineStr">
        <is>
          <t>Тимур</t>
        </is>
      </c>
      <c r="B3" s="6" t="n">
        <v>4.2</v>
      </c>
      <c r="C3" s="6" t="n">
        <v>0</v>
      </c>
      <c r="D3" s="6" t="inlineStr">
        <is>
          <t>нет</t>
        </is>
      </c>
      <c r="E3" s="4" t="n"/>
      <c r="F3" s="4" t="n"/>
      <c r="G3" s="4" t="n"/>
      <c r="H3" s="4" t="n"/>
      <c r="I3" s="4" t="n"/>
      <c r="K3" s="8" t="n">
        <v>2</v>
      </c>
      <c r="L3" s="8" t="inlineStr">
        <is>
          <t>ЕСЛИ + И</t>
        </is>
      </c>
      <c r="M3" s="8" t="inlineStr">
        <is>
          <t>Повышенная стипендия — если стипендия есть (E2) И студент участвовал в олимпиаде (D2 = «да»). В F2 — «да» или «нет». Что у Айданы (F2)?</t>
        </is>
      </c>
      <c r="N3" s="8" t="inlineStr">
        <is>
          <t>F2 → протяни до F6; ответ в F2</t>
        </is>
      </c>
      <c r="O3" s="9">
        <f>IF(ISBLANK(F2),"—",IF(OR(NOT(_xlfn.ISFORMULA(F2)),NOT(_xlfn.ISFORMULA(F3)),NOT(_xlfn.ISFORMULA(F4)),NOT(_xlfn.ISFORMULA(F5)),NOT(_xlfn.ISFORMULA(F6))),"✗ нужна формула, а не готовый ответ (протяни формулу вниз)",IF(NOT(OR(ISNUMBER(SEARCH("ЕСЛИ(",IFERROR(_xlfn.FORMULATEXT(F2),""))),ISNUMBER(SEARCH("IF(",IFERROR(_xlfn.FORMULATEXT(F2),""))))),"✗ нужна функция ЕСЛИ",IF(NOT(OR(ISNUMBER(SEARCH("AND(",IFERROR(_xlfn.FORMULATEXT(F2),""))),(LEN(IFERROR(_xlfn.FORMULATEXT(F2),""))-LEN(SUBSTITUTE(UPPER(IFERROR(_xlfn.FORMULATEXT(F2),"")),"И(","")))/2&gt;(LEN(IFERROR(_xlfn.FORMULATEXT(F2),""))-LEN(SUBSTITUTE(UPPER(IFERROR(_xlfn.FORMULATEXT(F2),"")),"ЛИ(","")))/3)),"✗ нужна функция И",IF(NOT(AND(IFERROR(SUBSTITUTE(LOWER(F2&amp;""),"ё","е")=SUBSTITUTE(LOWER((IF(AND(E2,D2="да"),"да","нет"))&amp;""),"ё","е"),FALSE),IFERROR(SUBSTITUTE(LOWER(F3&amp;""),"ё","е")=SUBSTITUTE(LOWER((IF(AND(E3,D3="да"),"да","нет"))&amp;""),"ё","е"),FALSE),IFERROR(SUBSTITUTE(LOWER(F4&amp;""),"ё","е")=SUBSTITUTE(LOWER((IF(AND(E4,D4="да"),"да","нет"))&amp;""),"ё","е"),FALSE),IFERROR(SUBSTITUTE(LOWER(F5&amp;""),"ё","е")=SUBSTITUTE(LOWER((IF(AND(E5,D5="да"),"да","нет"))&amp;""),"ё","е"),FALSE),IFERROR(SUBSTITUTE(LOWER(F6&amp;""),"ё","е")=SUBSTITUTE(LOWER((IF(AND(E6,D6="да"),"да","нет"))&amp;""),"ё","е"),FALSE))),"✗ ответ неверный — проверь формулу и диапазон","✓ верно")))))</f>
        <v/>
      </c>
    </row>
    <row r="4">
      <c r="A4" s="6" t="inlineStr">
        <is>
          <t>Дана</t>
        </is>
      </c>
      <c r="B4" s="6" t="n">
        <v>3.9</v>
      </c>
      <c r="C4" s="6" t="n">
        <v>5</v>
      </c>
      <c r="D4" s="6" t="inlineStr">
        <is>
          <t>да</t>
        </is>
      </c>
      <c r="E4" s="4" t="n"/>
      <c r="F4" s="4" t="n"/>
      <c r="G4" s="4" t="n"/>
      <c r="H4" s="4" t="n"/>
      <c r="I4" s="4" t="n"/>
      <c r="K4" s="8" t="n">
        <v>3</v>
      </c>
      <c r="L4" s="8" t="inlineStr">
        <is>
          <t>ИЛИ</t>
        </is>
      </c>
      <c r="M4" s="8" t="inlineStr">
        <is>
          <t>Похвальный лист — если средний балл 5 ИЛИ олимпиада «да». В G2 — ИЛИ, протяни. Что у Даны (G4)?</t>
        </is>
      </c>
      <c r="N4" s="8" t="inlineStr">
        <is>
          <t>G2 → протяни до G6; ответ в G4</t>
        </is>
      </c>
      <c r="O4" s="9">
        <f>IF(ISBLANK(G2),"—",IF(OR(NOT(_xlfn.ISFORMULA(G2)),NOT(_xlfn.ISFORMULA(G3)),NOT(_xlfn.ISFORMULA(G4)),NOT(_xlfn.ISFORMULA(G5)),NOT(_xlfn.ISFORMULA(G6))),"✗ нужна формула, а не готовый ответ (протяни формулу вниз)",IF(NOT(OR(ISNUMBER(SEARCH("ИЛИ(",IFERROR(_xlfn.FORMULATEXT(G2),""))),ISNUMBER(SEARCH("OR(",IFERROR(_xlfn.FORMULATEXT(G2),""))))),"✗ нужна функция ИЛИ",IF(NOT(AND(IFERROR(SUBSTITUTE(LOWER(G2&amp;""),"ё","е")=SUBSTITUTE(LOWER((OR(B2=5,D2="да"))&amp;""),"ё","е"),FALSE),IFERROR(SUBSTITUTE(LOWER(G3&amp;""),"ё","е")=SUBSTITUTE(LOWER((OR(B3=5,D3="да"))&amp;""),"ё","е"),FALSE),IFERROR(SUBSTITUTE(LOWER(G4&amp;""),"ё","е")=SUBSTITUTE(LOWER((OR(B4=5,D4="да"))&amp;""),"ё","е"),FALSE),IFERROR(SUBSTITUTE(LOWER(G5&amp;""),"ё","е")=SUBSTITUTE(LOWER((OR(B5=5,D5="да"))&amp;""),"ё","е"),FALSE),IFERROR(SUBSTITUTE(LOWER(G6&amp;""),"ё","е")=SUBSTITUTE(LOWER((OR(B6=5,D6="да"))&amp;""),"ё","е"),FALSE))),"✗ ответ неверный — проверь формулу и диапазон","✓ верно"))))</f>
        <v/>
      </c>
    </row>
    <row r="5">
      <c r="A5" s="6" t="inlineStr">
        <is>
          <t>Арман</t>
        </is>
      </c>
      <c r="B5" s="6" t="n">
        <v>4.6</v>
      </c>
      <c r="C5" s="6" t="n">
        <v>12</v>
      </c>
      <c r="D5" s="6" t="inlineStr">
        <is>
          <t>нет</t>
        </is>
      </c>
      <c r="E5" s="4" t="n"/>
      <c r="F5" s="4" t="n"/>
      <c r="G5" s="4" t="n"/>
      <c r="H5" s="4" t="n"/>
      <c r="I5" s="4" t="n"/>
      <c r="K5" s="8" t="n">
        <v>4</v>
      </c>
      <c r="L5" s="8" t="inlineStr">
        <is>
          <t>НЕ</t>
        </is>
      </c>
      <c r="M5" s="8" t="inlineStr">
        <is>
          <t>Беседа нужна тем, у кого НЕТ стипендии. В H2 — НЕ, протяни. Что у Тимура (H3)?</t>
        </is>
      </c>
      <c r="N5" s="8" t="inlineStr">
        <is>
          <t>H2 → протяни до H6; ответ в H3</t>
        </is>
      </c>
      <c r="O5" s="9">
        <f>IF(ISBLANK(H2),"—",IF(OR(NOT(_xlfn.ISFORMULA(H2)),NOT(_xlfn.ISFORMULA(H3)),NOT(_xlfn.ISFORMULA(H4)),NOT(_xlfn.ISFORMULA(H5)),NOT(_xlfn.ISFORMULA(H6))),"✗ нужна формула, а не готовый ответ (протяни формулу вниз)",IF(NOT(OR(ISNUMBER(SEARCH("НЕ(",IFERROR(_xlfn.FORMULATEXT(H2),""))),ISNUMBER(SEARCH("NOT(",IFERROR(_xlfn.FORMULATEXT(H2),""))))),"✗ нужна функция НЕ",IF(NOT(AND(IFERROR(SUBSTITUTE(LOWER(H2&amp;""),"ё","е")=SUBSTITUTE(LOWER((NOT(E2))&amp;""),"ё","е"),FALSE),IFERROR(SUBSTITUTE(LOWER(H3&amp;""),"ё","е")=SUBSTITUTE(LOWER((NOT(E3))&amp;""),"ё","е"),FALSE),IFERROR(SUBSTITUTE(LOWER(H4&amp;""),"ё","е")=SUBSTITUTE(LOWER((NOT(E4))&amp;""),"ё","е"),FALSE),IFERROR(SUBSTITUTE(LOWER(H5&amp;""),"ё","е")=SUBSTITUTE(LOWER((NOT(E5))&amp;""),"ё","е"),FALSE),IFERROR(SUBSTITUTE(LOWER(H6&amp;""),"ё","е")=SUBSTITUTE(LOWER((NOT(E6))&amp;""),"ё","е"),FALSE))),"✗ ответ неверный — проверь формулу и диапазон","✓ верно"))))</f>
        <v/>
      </c>
    </row>
    <row r="6">
      <c r="A6" s="6" t="inlineStr">
        <is>
          <t>Мадина</t>
        </is>
      </c>
      <c r="B6" s="6" t="n">
        <v>5</v>
      </c>
      <c r="C6" s="6" t="n">
        <v>1</v>
      </c>
      <c r="D6" s="6" t="inlineStr">
        <is>
          <t>нет</t>
        </is>
      </c>
      <c r="E6" s="4" t="n"/>
      <c r="F6" s="4" t="n"/>
      <c r="G6" s="4" t="n"/>
      <c r="H6" s="4" t="n"/>
      <c r="I6" s="4" t="n"/>
      <c r="K6" s="8" t="n">
        <v>5</v>
      </c>
      <c r="L6" s="8" t="inlineStr">
        <is>
          <t>ЕСЛИ в ЕСЛИ</t>
        </is>
      </c>
      <c r="M6" s="8" t="inlineStr">
        <is>
          <t>Размер стипендии: повышенная — 60 000 тг, обычная — 40 000 тг, нет стипендии — 0. В I2 — ЕСЛИ внутри ЕСЛИ, протяни. Сколько у Мадины (I6)?</t>
        </is>
      </c>
      <c r="N6" s="8" t="inlineStr">
        <is>
          <t>I2 → протяни до I6; ответ в I6</t>
        </is>
      </c>
      <c r="O6" s="9">
        <f>IF(ISBLANK(I2),"—",IF(OR(NOT(_xlfn.ISFORMULA(I2)),NOT(_xlfn.ISFORMULA(I3)),NOT(_xlfn.ISFORMULA(I4)),NOT(_xlfn.ISFORMULA(I5)),NOT(_xlfn.ISFORMULA(I6))),"✗ нужна формула, а не готовый ответ (протяни формулу вниз)",IF(NOT(OR(ISNUMBER(SEARCH("ЕСЛИ(",IFERROR(_xlfn.FORMULATEXT(I2),""))),ISNUMBER(SEARCH("IF(",IFERROR(_xlfn.FORMULATEXT(I2),""))))),"✗ нужна функция ЕСЛИ",IF(NOT(AND(IFERROR(ABS(I2-(IF(F2="да",60000,IF(E2,40000,0))))&lt;=0.01*MAX(1,ABS(IF(F2="да",60000,IF(E2,40000,0)))),FALSE),IFERROR(ABS(I3-(IF(F3="да",60000,IF(E3,40000,0))))&lt;=0.01*MAX(1,ABS(IF(F3="да",60000,IF(E3,40000,0)))),FALSE),IFERROR(ABS(I4-(IF(F4="да",60000,IF(E4,40000,0))))&lt;=0.01*MAX(1,ABS(IF(F4="да",60000,IF(E4,40000,0)))),FALSE),IFERROR(ABS(I5-(IF(F5="да",60000,IF(E5,40000,0))))&lt;=0.01*MAX(1,ABS(IF(F5="да",60000,IF(E5,40000,0)))),FALSE),IFERROR(ABS(I6-(IF(F6="да",60000,IF(E6,40000,0))))&lt;=0.01*MAX(1,ABS(IF(F6="да",60000,IF(E6,40000,0)))),FALSE))),"✗ ответ неверный — проверь формулу и диапазон","✓ верно"))))</f>
        <v/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K7" s="8" t="n">
        <v>6</v>
      </c>
      <c r="L7" s="8" t="inlineStr">
        <is>
          <t>сложное: всего</t>
        </is>
      </c>
      <c r="M7" s="8" t="inlineStr">
        <is>
          <t>Сколько денег нужно на все стипендии? Сложи I2:I6 в I8.</t>
        </is>
      </c>
      <c r="N7" s="8" t="inlineStr">
        <is>
          <t>I8</t>
        </is>
      </c>
      <c r="O7" s="9">
        <f>IF(ISBLANK(I8),"—",IF(OR(NOT(_xlfn.ISFORMULA(I8))),"✗ нужна формула, а не готовый ответ",IF(NOT(OR(ISNUMBER(SEARCH("СУММ(",IFERROR(_xlfn.FORMULATEXT(I8),""))),ISNUMBER(SEARCH("SUM(",IFERROR(_xlfn.FORMULATEXT(I8),""))))),"✗ нужна функция СУММ",IF(NOT(AND(IFERROR(ABS(I8-(SUM(I2:I6)))&lt;=0.01*MAX(1,ABS(SUM(I2:I6))),FALSE))),"✗ ответ неверный — проверь формулу и диапазон","✓ верно"))))</f>
        <v/>
      </c>
    </row>
    <row r="8">
      <c r="A8" s="6" t="inlineStr">
        <is>
          <t>Всего</t>
        </is>
      </c>
      <c r="B8" s="6" t="n"/>
      <c r="C8" s="6" t="n"/>
      <c r="D8" s="6" t="n"/>
      <c r="E8" s="6" t="n"/>
      <c r="F8" s="6" t="n"/>
      <c r="G8" s="6" t="n"/>
      <c r="H8" s="6" t="n"/>
      <c r="I8" s="4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M9" s="10" t="inlineStr">
        <is>
          <t>Выполнено шагов:</t>
        </is>
      </c>
      <c r="O9" s="11">
        <f>COUNTIF(O2:O7,"✓*")&amp;" из 6"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O2:O7">
    <cfRule type="expression" priority="1" dxfId="0">
      <formula>LEFT(O2,1)="✓"</formula>
    </cfRule>
    <cfRule type="expression" priority="2" dxfId="1">
      <formula>LEFT(O2,1)="✗"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2" max="2"/>
    <col width="22" customWidth="1" min="3" max="3"/>
  </cols>
  <sheetData>
    <row r="1">
      <c r="A1" s="1" t="inlineStr">
        <is>
          <t>Итог самопроверки</t>
        </is>
      </c>
    </row>
    <row r="2">
      <c r="A2">
        <f>"Ученик: "&amp;Начало!B4&amp;", "&amp;Начало!B3</f>
        <v/>
      </c>
    </row>
    <row r="4">
      <c r="A4" s="7" t="inlineStr">
        <is>
          <t>Сценарий</t>
        </is>
      </c>
      <c r="B4" s="7" t="inlineStr">
        <is>
          <t>Название</t>
        </is>
      </c>
      <c r="C4" s="7" t="inlineStr">
        <is>
          <t>Функции</t>
        </is>
      </c>
      <c r="D4" s="7" t="inlineStr">
        <is>
          <t>Верно</t>
        </is>
      </c>
      <c r="E4" s="7" t="inlineStr">
        <is>
          <t>Всего</t>
        </is>
      </c>
    </row>
    <row r="5">
      <c r="A5" t="inlineStr">
        <is>
          <t>S1</t>
        </is>
      </c>
      <c r="B5" t="inlineStr">
        <is>
          <t>Журнал СОР</t>
        </is>
      </c>
      <c r="C5" t="inlineStr">
        <is>
          <t>ЕСЛИ</t>
        </is>
      </c>
      <c r="D5">
        <f>COUNTIF(S1!O2:O7,"✓*")</f>
        <v/>
      </c>
      <c r="E5" t="n">
        <v>6</v>
      </c>
    </row>
    <row r="6">
      <c r="A6" t="inlineStr">
        <is>
          <t>S2</t>
        </is>
      </c>
      <c r="B6" t="inlineStr">
        <is>
          <t>Интернет-магазин</t>
        </is>
      </c>
      <c r="C6" t="inlineStr">
        <is>
          <t>ЕСЛИ</t>
        </is>
      </c>
      <c r="D6">
        <f>COUNTIF(S2!O2:O7,"✓*")</f>
        <v/>
      </c>
      <c r="E6" t="n">
        <v>6</v>
      </c>
    </row>
    <row r="7">
      <c r="A7" t="inlineStr">
        <is>
          <t>S3</t>
        </is>
      </c>
      <c r="B7" t="inlineStr">
        <is>
          <t>Нормы по физкультуре</t>
        </is>
      </c>
      <c r="C7" t="inlineStr">
        <is>
          <t>И</t>
        </is>
      </c>
      <c r="D7">
        <f>COUNTIF(S3!O2:O7,"✓*")</f>
        <v/>
      </c>
      <c r="E7" t="n">
        <v>6</v>
      </c>
    </row>
    <row r="8">
      <c r="A8" t="inlineStr">
        <is>
          <t>S4</t>
        </is>
      </c>
      <c r="B8" t="inlineStr">
        <is>
          <t>Кинотеатр</t>
        </is>
      </c>
      <c r="C8" t="inlineStr">
        <is>
          <t>ИЛИ</t>
        </is>
      </c>
      <c r="D8">
        <f>COUNTIF(S4!O2:O7,"✓*")</f>
        <v/>
      </c>
      <c r="E8" t="n">
        <v>6</v>
      </c>
    </row>
    <row r="9">
      <c r="A9" t="inlineStr">
        <is>
          <t>S5</t>
        </is>
      </c>
      <c r="B9" t="inlineStr">
        <is>
          <t>Стипендия</t>
        </is>
      </c>
      <c r="C9" t="inlineStr">
        <is>
          <t>ЕСЛИ · И · ИЛИ · НЕ</t>
        </is>
      </c>
      <c r="D9">
        <f>COUNTIF(S5!O2:O7,"✓*")</f>
        <v/>
      </c>
      <c r="E9" t="n">
        <v>6</v>
      </c>
    </row>
    <row r="10">
      <c r="B10" s="10" t="inlineStr">
        <is>
          <t>Всего</t>
        </is>
      </c>
      <c r="D10" s="10">
        <f>SUM(D5:D9)</f>
        <v/>
      </c>
      <c r="E10" s="10">
        <f>SUM(E5:E9)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B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2026-10-24T17:31:31Z</dcterms:created>
  <dcterms:modified xmlns:dcterms="http://purl.org/dc/terms/" xmlns:xsi="http://www.w3.org/2001/XMLSchema-instance" xsi:type="dcterms:W3CDTF">2026-10-24T17:31:31Z</dcterms:modified>
</cp:coreProperties>
</file>