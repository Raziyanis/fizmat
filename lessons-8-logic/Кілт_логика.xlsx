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Қалай қолдану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«Excel-де жұмыс» кезеңінің кілті («Логикалық функциялар» сабағы, 8 сынып).</t>
        </is>
      </c>
    </row>
    <row r="2">
      <c r="A2" t="inlineStr">
        <is>
          <t>S1–S5 парақтарында — сценарий кестесі және оқушылардың барлық формуласы жазылған (сары ұяшықтар).</t>
        </is>
      </c>
    </row>
    <row r="3">
      <c r="A3" t="inlineStr">
        <is>
          <t>Оң жақта — қадамдар: формула қайда, орыс тіліндегі Excel-дегі формула және дұрыс жауап.</t>
        </is>
      </c>
    </row>
    <row r="4">
      <c r="A4" t="inlineStr">
        <is>
          <t>«Өзгерт …» қадамдарын оқушы өзі орындайды: файлда бастапқы деректер, ал мұндай қадамның жауабы — өзгерткеннен кейін.</t>
        </is>
      </c>
    </row>
    <row r="5">
      <c r="A5" t="inlineStr">
        <is>
          <t>Формулалар орыс тіліндегі Excel оларды орысша көрсететіндей жазылған: ЕСЛИ, И, ИЛИ, НЕ, СУММ. Функция атаулары Excel-дің тіліне байланысты көрсетіледі.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Оқушы</t>
        </is>
      </c>
      <c r="B1" s="1" t="inlineStr">
        <is>
          <t>Балл</t>
        </is>
      </c>
      <c r="C1" s="1" t="inlineStr">
        <is>
          <t>Қорытынды</t>
        </is>
      </c>
      <c r="D1" s="1" t="inlineStr">
        <is>
          <t>50 және одан көп пе?</t>
        </is>
      </c>
      <c r="E1" s="1" t="inlineStr">
        <is>
          <t>Бонус</t>
        </is>
      </c>
      <c r="F1" s="1" t="inlineStr">
        <is>
          <t>Есептелді = 1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Айдана</t>
        </is>
      </c>
      <c r="B2" t="n">
        <v>72</v>
      </c>
      <c r="C2" s="3">
        <f>IF(B2&gt;=50,"есептелді","есептелмеді")</f>
        <v/>
      </c>
      <c r="D2" s="3">
        <f>B2&gt;=50</f>
        <v/>
      </c>
      <c r="E2" s="3">
        <f>IF(B2&gt;=85,5,0)</f>
        <v/>
      </c>
      <c r="F2" s="3">
        <f>IF(C2="есептелді",1,0)</f>
        <v/>
      </c>
      <c r="K2" s="4" t="n">
        <v>1</v>
      </c>
      <c r="L2" s="4" t="inlineStr">
        <is>
          <t>салыстыру</t>
        </is>
      </c>
      <c r="M2" s="4" t="inlineStr">
        <is>
          <t>D2</t>
        </is>
      </c>
      <c r="N2" s="4" t="inlineStr">
        <is>
          <t>=B2&gt;=50</t>
        </is>
      </c>
      <c r="O2" s="4" t="inlineStr">
        <is>
          <t>ИСТИНА</t>
        </is>
      </c>
    </row>
    <row r="3">
      <c r="A3" t="inlineStr">
        <is>
          <t>Тимур</t>
        </is>
      </c>
      <c r="B3" t="n">
        <v>45</v>
      </c>
      <c r="C3" s="3">
        <f>IF(B3&gt;=50,"есептелді","есептелмеді")</f>
        <v/>
      </c>
      <c r="E3" s="3">
        <f>IF(B3&gt;=85,5,0)</f>
        <v/>
      </c>
      <c r="F3" s="3">
        <f>IF(C3="есептелді",1,0)</f>
        <v/>
      </c>
      <c r="K3" s="4" t="n">
        <v>2</v>
      </c>
      <c r="L3" s="4" t="inlineStr">
        <is>
          <t>Мәтінмен ЕСЛИ</t>
        </is>
      </c>
      <c r="M3" s="4" t="inlineStr">
        <is>
          <t>C2</t>
        </is>
      </c>
      <c r="N3" s="4" t="inlineStr">
        <is>
          <t>=ЕСЛИ(B2&gt;=50;"есептелді";"есептелмеді")</t>
        </is>
      </c>
      <c r="O3" s="4" t="inlineStr">
        <is>
          <t>есептелді</t>
        </is>
      </c>
    </row>
    <row r="4">
      <c r="A4" t="inlineStr">
        <is>
          <t>Дана</t>
        </is>
      </c>
      <c r="B4" t="n">
        <v>50</v>
      </c>
      <c r="C4" s="3">
        <f>IF(B4&gt;=50,"есептелді","есептелмеді")</f>
        <v/>
      </c>
      <c r="E4" s="3">
        <f>IF(B4&gt;=85,5,0)</f>
        <v/>
      </c>
      <c r="F4" s="3">
        <f>IF(C4="есептелді",1,0)</f>
        <v/>
      </c>
      <c r="K4" s="4" t="n">
        <v>3</v>
      </c>
      <c r="L4" s="4" t="inlineStr">
        <is>
          <t>төмен созып көшіру</t>
        </is>
      </c>
      <c r="M4" s="4" t="inlineStr">
        <is>
          <t>C2:C7 (жауап C4 ұяшығында)</t>
        </is>
      </c>
      <c r="N4" s="4" t="inlineStr">
        <is>
          <t>=ЕСЛИ(B2&gt;=50;"есептелді";"есептелмеді") және төмен созып көшіру</t>
        </is>
      </c>
      <c r="O4" s="4" t="inlineStr">
        <is>
          <t>есептелді</t>
        </is>
      </c>
    </row>
    <row r="5">
      <c r="A5" t="inlineStr">
        <is>
          <t>Арман</t>
        </is>
      </c>
      <c r="B5" t="n">
        <v>38</v>
      </c>
      <c r="C5" s="3">
        <f>IF(B5&gt;=50,"есептелді","есептелмеді")</f>
        <v/>
      </c>
      <c r="E5" s="3">
        <f>IF(B5&gt;=85,5,0)</f>
        <v/>
      </c>
      <c r="F5" s="3">
        <f>IF(C5="есептелді",1,0)</f>
        <v/>
      </c>
      <c r="K5" s="4" t="n">
        <v>4</v>
      </c>
      <c r="L5" s="4" t="inlineStr">
        <is>
          <t>Сандармен ЕСЛИ</t>
        </is>
      </c>
      <c r="M5" s="4" t="inlineStr">
        <is>
          <t>E2:E7 (жауап E6 ұяшығында)</t>
        </is>
      </c>
      <c r="N5" s="4" t="inlineStr">
        <is>
          <t>=ЕСЛИ(B2&gt;=85;5;0) және төмен созып көшіру</t>
        </is>
      </c>
      <c r="O5" s="4" t="n">
        <v>5</v>
      </c>
    </row>
    <row r="6">
      <c r="A6" t="inlineStr">
        <is>
          <t>Мадина</t>
        </is>
      </c>
      <c r="B6" t="n">
        <v>91</v>
      </c>
      <c r="C6" s="3">
        <f>IF(B6&gt;=50,"есептелді","есептелмеді")</f>
        <v/>
      </c>
      <c r="E6" s="3">
        <f>IF(B6&gt;=85,5,0)</f>
        <v/>
      </c>
      <c r="F6" s="3">
        <f>IF(C6="есептелді",1,0)</f>
        <v/>
      </c>
      <c r="K6" s="4" t="n">
        <v>5</v>
      </c>
      <c r="L6" s="4" t="inlineStr">
        <is>
          <t>мәтіні бар шарт</t>
        </is>
      </c>
      <c r="M6" s="4" t="inlineStr">
        <is>
          <t>F2:F7 (жауап F3 ұяшығында)</t>
        </is>
      </c>
      <c r="N6" s="4" t="inlineStr">
        <is>
          <t>=ЕСЛИ(C2="есептелді";1;0) және төмен созып көшіру</t>
        </is>
      </c>
      <c r="O6" s="4" t="n">
        <v>0</v>
      </c>
    </row>
    <row r="7">
      <c r="A7" t="inlineStr">
        <is>
          <t>Ерлан</t>
        </is>
      </c>
      <c r="B7" t="n">
        <v>64</v>
      </c>
      <c r="C7" s="3">
        <f>IF(B7&gt;=50,"есептелді","есептелмеді")</f>
        <v/>
      </c>
      <c r="E7" s="3">
        <f>IF(B7&gt;=85,5,0)</f>
        <v/>
      </c>
      <c r="F7" s="3">
        <f>IF(C7="есептелді",1,0)</f>
        <v/>
      </c>
      <c r="K7" s="4" t="n">
        <v>6</v>
      </c>
      <c r="L7" s="4" t="inlineStr">
        <is>
          <t>күрделі: шекара</t>
        </is>
      </c>
      <c r="M7" s="4" t="inlineStr">
        <is>
          <t>C3</t>
        </is>
      </c>
      <c r="N7" s="4" t="inlineStr">
        <is>
          <t>B3 мәнін 50 деп өзгерт</t>
        </is>
      </c>
      <c r="O7" s="4" t="inlineStr">
        <is>
          <t>есептелді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Тапсырыс</t>
        </is>
      </c>
      <c r="B1" s="1" t="inlineStr">
        <is>
          <t>Сомасы, тг</t>
        </is>
      </c>
      <c r="C1" s="1" t="inlineStr">
        <is>
          <t>Жеткізу, тг</t>
        </is>
      </c>
      <c r="D1" s="1" t="inlineStr">
        <is>
          <t>Жеңілдік, тг</t>
        </is>
      </c>
      <c r="E1" s="1" t="inlineStr">
        <is>
          <t>Төлеуге, тг</t>
        </is>
      </c>
      <c r="F1" s="1" t="inlineStr">
        <is>
          <t>Тапсырыс түрі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№1</t>
        </is>
      </c>
      <c r="B2" t="n">
        <v>3500</v>
      </c>
      <c r="C2" s="3">
        <f>IF(B2&gt;=5000,0,700)</f>
        <v/>
      </c>
      <c r="D2" s="3">
        <f>IF(B2&gt;10000,B2*0.1,0)</f>
        <v/>
      </c>
      <c r="E2" s="3">
        <f>B2+C2-D2</f>
        <v/>
      </c>
      <c r="F2" s="3">
        <f>IF(E2&gt;5000,"ірі","кәдімгі")</f>
        <v/>
      </c>
      <c r="K2" s="4" t="n">
        <v>1</v>
      </c>
      <c r="L2" s="4" t="inlineStr">
        <is>
          <t>тармақтағы сан</t>
        </is>
      </c>
      <c r="M2" s="4" t="inlineStr">
        <is>
          <t>C2:C6 (жауап C3 ұяшығында)</t>
        </is>
      </c>
      <c r="N2" s="4" t="inlineStr">
        <is>
          <t>=ЕСЛИ(B2&gt;=5000;0;700) және төмен созып көшіру</t>
        </is>
      </c>
      <c r="O2" s="4" t="n">
        <v>0</v>
      </c>
    </row>
    <row r="3">
      <c r="A3" t="inlineStr">
        <is>
          <t>№2</t>
        </is>
      </c>
      <c r="B3" t="n">
        <v>5000</v>
      </c>
      <c r="C3" s="3">
        <f>IF(B3&gt;=5000,0,700)</f>
        <v/>
      </c>
      <c r="D3" s="3">
        <f>IF(B3&gt;10000,B3*0.1,0)</f>
        <v/>
      </c>
      <c r="E3" s="3">
        <f>B3+C3-D3</f>
        <v/>
      </c>
      <c r="F3" s="3">
        <f>IF(E3&gt;5000,"ірі","кәдімгі")</f>
        <v/>
      </c>
      <c r="K3" s="4" t="n">
        <v>2</v>
      </c>
      <c r="L3" s="4" t="inlineStr">
        <is>
          <t>тармақта есептеу</t>
        </is>
      </c>
      <c r="M3" s="4" t="inlineStr">
        <is>
          <t>D2:D6 (жауап D4 ұяшығында)</t>
        </is>
      </c>
      <c r="N3" s="4" t="inlineStr">
        <is>
          <t>=ЕСЛИ(B2&gt;10000;B2*0,1;0) және төмен созып көшіру</t>
        </is>
      </c>
      <c r="O3" s="4" t="n">
        <v>1200</v>
      </c>
    </row>
    <row r="4">
      <c r="A4" t="inlineStr">
        <is>
          <t>№3</t>
        </is>
      </c>
      <c r="B4" t="n">
        <v>12000</v>
      </c>
      <c r="C4" s="3">
        <f>IF(B4&gt;=5000,0,700)</f>
        <v/>
      </c>
      <c r="D4" s="3">
        <f>IF(B4&gt;10000,B4*0.1,0)</f>
        <v/>
      </c>
      <c r="E4" s="3">
        <f>B4+C4-D4</f>
        <v/>
      </c>
      <c r="F4" s="3">
        <f>IF(E4&gt;5000,"ірі","кәдімгі")</f>
        <v/>
      </c>
      <c r="K4" s="4" t="n">
        <v>3</v>
      </c>
      <c r="L4" s="4" t="inlineStr">
        <is>
          <t>жол бойынша қорытынды</t>
        </is>
      </c>
      <c r="M4" s="4" t="inlineStr">
        <is>
          <t>E2:E6 (жауап E5 ұяшығында)</t>
        </is>
      </c>
      <c r="N4" s="4" t="inlineStr">
        <is>
          <t>=B2+C2-D2 және төмен созып көшіру</t>
        </is>
      </c>
      <c r="O4" s="4" t="n">
        <v>1500</v>
      </c>
    </row>
    <row r="5">
      <c r="A5" t="inlineStr">
        <is>
          <t>№4</t>
        </is>
      </c>
      <c r="B5" t="n">
        <v>800</v>
      </c>
      <c r="C5" s="3">
        <f>IF(B5&gt;=5000,0,700)</f>
        <v/>
      </c>
      <c r="D5" s="3">
        <f>IF(B5&gt;10000,B5*0.1,0)</f>
        <v/>
      </c>
      <c r="E5" s="3">
        <f>B5+C5-D5</f>
        <v/>
      </c>
      <c r="F5" s="3">
        <f>IF(E5&gt;5000,"ірі","кәдімгі")</f>
        <v/>
      </c>
      <c r="K5" s="4" t="n">
        <v>4</v>
      </c>
      <c r="L5" s="4" t="inlineStr">
        <is>
          <t>СУММ</t>
        </is>
      </c>
      <c r="M5" s="4" t="inlineStr">
        <is>
          <t>E7</t>
        </is>
      </c>
      <c r="N5" s="4" t="inlineStr">
        <is>
          <t>=СУММ(E2:E6)</t>
        </is>
      </c>
      <c r="O5" s="4" t="n">
        <v>31500</v>
      </c>
    </row>
    <row r="6">
      <c r="A6" t="inlineStr">
        <is>
          <t>№5</t>
        </is>
      </c>
      <c r="B6" t="n">
        <v>10000</v>
      </c>
      <c r="C6" s="3">
        <f>IF(B6&gt;=5000,0,700)</f>
        <v/>
      </c>
      <c r="D6" s="3">
        <f>IF(B6&gt;10000,B6*0.1,0)</f>
        <v/>
      </c>
      <c r="E6" s="3">
        <f>B6+C6-D6</f>
        <v/>
      </c>
      <c r="F6" s="3">
        <f>IF(E6&gt;5000,"ірі","кәдімгі")</f>
        <v/>
      </c>
      <c r="K6" s="4" t="n">
        <v>5</v>
      </c>
      <c r="L6" s="4" t="inlineStr">
        <is>
          <t>сан бойынша мәтін</t>
        </is>
      </c>
      <c r="M6" s="4" t="inlineStr">
        <is>
          <t>F2:F6 (жауап F4 ұяшығында)</t>
        </is>
      </c>
      <c r="N6" s="4" t="inlineStr">
        <is>
          <t>=ЕСЛИ(E2&gt;5000;"ірі";"кәдімгі") және төмен созып көшіру</t>
        </is>
      </c>
      <c r="O6" s="4" t="inlineStr">
        <is>
          <t>ірі</t>
        </is>
      </c>
    </row>
    <row r="7">
      <c r="A7" t="inlineStr">
        <is>
          <t>Барлығы</t>
        </is>
      </c>
      <c r="E7" s="3">
        <f>SUM(E2:E6)</f>
        <v/>
      </c>
      <c r="K7" s="4" t="n">
        <v>6</v>
      </c>
      <c r="L7" s="4" t="inlineStr">
        <is>
          <t>күрделі: деректерді өзгерт</t>
        </is>
      </c>
      <c r="M7" s="4" t="inlineStr">
        <is>
          <t>E5</t>
        </is>
      </c>
      <c r="N7" s="4" t="inlineStr">
        <is>
          <t>B5 мәнін 4900 деп өзгерт</t>
        </is>
      </c>
      <c r="O7" s="4" t="n">
        <v>5600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Оқушы</t>
        </is>
      </c>
      <c r="B1" s="1" t="inlineStr">
        <is>
          <t>60 м жүгіру, с</t>
        </is>
      </c>
      <c r="C1" s="1" t="inlineStr">
        <is>
          <t>Секіру, см</t>
        </is>
      </c>
      <c r="D1" s="1" t="inlineStr">
        <is>
          <t>Жерден итерілу</t>
        </is>
      </c>
      <c r="E1" s="1" t="inlineStr">
        <is>
          <t>Жүгіру және секіру</t>
        </is>
      </c>
      <c r="F1" s="1" t="inlineStr">
        <is>
          <t>Үш норма да</t>
        </is>
      </c>
      <c r="G1" s="1" t="inlineStr">
        <is>
          <t>Қорытынды</t>
        </is>
      </c>
      <c r="H1" s="1" t="inlineStr">
        <is>
          <t>Секіру 150–180</t>
        </is>
      </c>
      <c r="I1" s="1" t="inlineStr">
        <is>
          <t>Қайта тапсыру ма?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Айдана</t>
        </is>
      </c>
      <c r="B2" t="n">
        <v>9.800000000000001</v>
      </c>
      <c r="C2" t="n">
        <v>155</v>
      </c>
      <c r="D2" t="n">
        <v>12</v>
      </c>
      <c r="E2" s="3">
        <f>AND(B2&lt;=10,C2&gt;=150)</f>
        <v/>
      </c>
      <c r="F2" s="3">
        <f>AND(B2&lt;=10,C2&gt;=150,D2&gt;=15)</f>
        <v/>
      </c>
      <c r="G2" s="3">
        <f>IF(AND(B2&lt;=10,C2&gt;=150,D2&gt;=15),"есептелді","қайта тапсыру")</f>
        <v/>
      </c>
      <c r="H2" s="3">
        <f>AND(C2&gt;=150,C2&lt;=180)</f>
        <v/>
      </c>
      <c r="I2" s="3">
        <f>NOT(F2)</f>
        <v/>
      </c>
      <c r="K2" s="4" t="n">
        <v>1</v>
      </c>
      <c r="L2" s="4" t="inlineStr">
        <is>
          <t>Екі шарттан тұратын И</t>
        </is>
      </c>
      <c r="M2" s="4" t="inlineStr">
        <is>
          <t>E2:E6 (жауап E3 ұяшығында)</t>
        </is>
      </c>
      <c r="N2" s="4" t="inlineStr">
        <is>
          <t>=И(B2&lt;=10;C2&gt;=150) және төмен созып көшіру</t>
        </is>
      </c>
      <c r="O2" s="4" t="inlineStr">
        <is>
          <t>ЛОЖЬ</t>
        </is>
      </c>
    </row>
    <row r="3">
      <c r="A3" t="inlineStr">
        <is>
          <t>Тимур</t>
        </is>
      </c>
      <c r="B3" t="n">
        <v>10.4</v>
      </c>
      <c r="C3" t="n">
        <v>170</v>
      </c>
      <c r="D3" t="n">
        <v>25</v>
      </c>
      <c r="E3" s="3">
        <f>AND(B3&lt;=10,C3&gt;=150)</f>
        <v/>
      </c>
      <c r="F3" s="3">
        <f>AND(B3&lt;=10,C3&gt;=150,D3&gt;=15)</f>
        <v/>
      </c>
      <c r="G3" s="3">
        <f>IF(AND(B3&lt;=10,C3&gt;=150,D3&gt;=15),"есептелді","қайта тапсыру")</f>
        <v/>
      </c>
      <c r="H3" s="3">
        <f>AND(C3&gt;=150,C3&lt;=180)</f>
        <v/>
      </c>
      <c r="I3" s="3">
        <f>NOT(F3)</f>
        <v/>
      </c>
      <c r="K3" s="4" t="n">
        <v>2</v>
      </c>
      <c r="L3" s="4" t="inlineStr">
        <is>
          <t>Үш шарттан тұратын И</t>
        </is>
      </c>
      <c r="M3" s="4" t="inlineStr">
        <is>
          <t>F2:F6 (жауап F5 ұяшығында)</t>
        </is>
      </c>
      <c r="N3" s="4" t="inlineStr">
        <is>
          <t>=И(B2&lt;=10;C2&gt;=150;D2&gt;=15) және төмен созып көшіру</t>
        </is>
      </c>
      <c r="O3" s="4" t="inlineStr">
        <is>
          <t>ИСТИНА</t>
        </is>
      </c>
    </row>
    <row r="4">
      <c r="A4" t="inlineStr">
        <is>
          <t>Дана</t>
        </is>
      </c>
      <c r="B4" t="n">
        <v>9.199999999999999</v>
      </c>
      <c r="C4" t="n">
        <v>140</v>
      </c>
      <c r="D4" t="n">
        <v>18</v>
      </c>
      <c r="E4" s="3">
        <f>AND(B4&lt;=10,C4&gt;=150)</f>
        <v/>
      </c>
      <c r="F4" s="3">
        <f>AND(B4&lt;=10,C4&gt;=150,D4&gt;=15)</f>
        <v/>
      </c>
      <c r="G4" s="3">
        <f>IF(AND(B4&lt;=10,C4&gt;=150,D4&gt;=15),"есептелді","қайта тапсыру")</f>
        <v/>
      </c>
      <c r="H4" s="3">
        <f>AND(C4&gt;=150,C4&lt;=180)</f>
        <v/>
      </c>
      <c r="I4" s="3">
        <f>NOT(F4)</f>
        <v/>
      </c>
      <c r="K4" s="4" t="n">
        <v>3</v>
      </c>
      <c r="L4" s="4" t="inlineStr">
        <is>
          <t>ЕСЛИ + И</t>
        </is>
      </c>
      <c r="M4" s="4" t="inlineStr">
        <is>
          <t>G2:G6 (жауап G2 ұяшығында)</t>
        </is>
      </c>
      <c r="N4" s="4" t="inlineStr">
        <is>
          <t>=ЕСЛИ(И(B2&lt;=10;C2&gt;=150;D2&gt;=15);"есептелді";"қайта тапсыру") және төмен созып көшіру</t>
        </is>
      </c>
      <c r="O4" s="4" t="inlineStr">
        <is>
          <t>қайта тапсыру</t>
        </is>
      </c>
    </row>
    <row r="5">
      <c r="A5" t="inlineStr">
        <is>
          <t>Арман</t>
        </is>
      </c>
      <c r="B5" t="n">
        <v>8.9</v>
      </c>
      <c r="C5" t="n">
        <v>182</v>
      </c>
      <c r="D5" t="n">
        <v>30</v>
      </c>
      <c r="E5" s="3">
        <f>AND(B5&lt;=10,C5&gt;=150)</f>
        <v/>
      </c>
      <c r="F5" s="3">
        <f>AND(B5&lt;=10,C5&gt;=150,D5&gt;=15)</f>
        <v/>
      </c>
      <c r="G5" s="3">
        <f>IF(AND(B5&lt;=10,C5&gt;=150,D5&gt;=15),"есептелді","қайта тапсыру")</f>
        <v/>
      </c>
      <c r="H5" s="3">
        <f>AND(C5&gt;=150,C5&lt;=180)</f>
        <v/>
      </c>
      <c r="I5" s="3">
        <f>NOT(F5)</f>
        <v/>
      </c>
      <c r="K5" s="4" t="n">
        <v>4</v>
      </c>
      <c r="L5" s="4" t="inlineStr">
        <is>
          <t>аралық</t>
        </is>
      </c>
      <c r="M5" s="4" t="inlineStr">
        <is>
          <t>H2:H6 (жауап H5 ұяшығында)</t>
        </is>
      </c>
      <c r="N5" s="4" t="inlineStr">
        <is>
          <t>=И(C2&gt;=150;C2&lt;=180) және төмен созып көшіру</t>
        </is>
      </c>
      <c r="O5" s="4" t="inlineStr">
        <is>
          <t>ЛОЖЬ</t>
        </is>
      </c>
    </row>
    <row r="6">
      <c r="A6" t="inlineStr">
        <is>
          <t>Мадина</t>
        </is>
      </c>
      <c r="B6" t="n">
        <v>11</v>
      </c>
      <c r="C6" t="n">
        <v>130</v>
      </c>
      <c r="D6" t="n">
        <v>8</v>
      </c>
      <c r="E6" s="3">
        <f>AND(B6&lt;=10,C6&gt;=150)</f>
        <v/>
      </c>
      <c r="F6" s="3">
        <f>AND(B6&lt;=10,C6&gt;=150,D6&gt;=15)</f>
        <v/>
      </c>
      <c r="G6" s="3">
        <f>IF(AND(B6&lt;=10,C6&gt;=150,D6&gt;=15),"есептелді","қайта тапсыру")</f>
        <v/>
      </c>
      <c r="H6" s="3">
        <f>AND(C6&gt;=150,C6&lt;=180)</f>
        <v/>
      </c>
      <c r="I6" s="3">
        <f>NOT(F6)</f>
        <v/>
      </c>
      <c r="K6" s="4" t="n">
        <v>5</v>
      </c>
      <c r="L6" s="4" t="inlineStr">
        <is>
          <t>НЕ</t>
        </is>
      </c>
      <c r="M6" s="4" t="inlineStr">
        <is>
          <t>I2:I6 (жауап I6 ұяшығында)</t>
        </is>
      </c>
      <c r="N6" s="4" t="inlineStr">
        <is>
          <t>=НЕ(F2) және төмен созып көшіру</t>
        </is>
      </c>
      <c r="O6" s="4" t="inlineStr">
        <is>
          <t>ИСТИНА</t>
        </is>
      </c>
    </row>
    <row r="7">
      <c r="K7" s="4" t="n">
        <v>6</v>
      </c>
      <c r="L7" s="4" t="inlineStr">
        <is>
          <t>күрделі: деректерді өзгерт</t>
        </is>
      </c>
      <c r="M7" s="4" t="inlineStr">
        <is>
          <t>G2</t>
        </is>
      </c>
      <c r="N7" s="4" t="inlineStr">
        <is>
          <t>D2 мәнін 15 деп өзгерт</t>
        </is>
      </c>
      <c r="O7" s="4" t="inlineStr">
        <is>
          <t>есептелді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Көрермен</t>
        </is>
      </c>
      <c r="B1" s="1" t="inlineStr">
        <is>
          <t>Жасы</t>
        </is>
      </c>
      <c r="C1" s="1" t="inlineStr">
        <is>
          <t>Күн</t>
        </is>
      </c>
      <c r="D1" s="1" t="inlineStr">
        <is>
          <t>Жеңілдік</t>
        </is>
      </c>
      <c r="E1" s="1" t="inlineStr">
        <is>
          <t>Демалыс</t>
        </is>
      </c>
      <c r="F1" s="1" t="inlineStr">
        <is>
          <t>Бағасы, тг</t>
        </is>
      </c>
      <c r="G1" s="1" t="inlineStr">
        <is>
          <t>Төлеуге, тг</t>
        </is>
      </c>
      <c r="H1" s="1" t="inlineStr">
        <is>
          <t>Жұмыс күні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Айдана</t>
        </is>
      </c>
      <c r="B2" t="n">
        <v>13</v>
      </c>
      <c r="C2" t="inlineStr">
        <is>
          <t>дс</t>
        </is>
      </c>
      <c r="D2" s="3">
        <f>OR(B2&lt;7,B2&gt;65)</f>
        <v/>
      </c>
      <c r="E2" s="3">
        <f>OR(C2="сн",C2="жс")</f>
        <v/>
      </c>
      <c r="F2" s="3">
        <f>IF(E2,2500,1800)</f>
        <v/>
      </c>
      <c r="G2" s="3">
        <f>IF(D2,F2/2,F2)</f>
        <v/>
      </c>
      <c r="H2" s="3">
        <f>NOT(E2)</f>
        <v/>
      </c>
      <c r="K2" s="4" t="n">
        <v>1</v>
      </c>
      <c r="L2" s="4" t="inlineStr">
        <is>
          <t>ИЛИ: жас</t>
        </is>
      </c>
      <c r="M2" s="4" t="inlineStr">
        <is>
          <t>D2:D7 (жауап D3 ұяшығында)</t>
        </is>
      </c>
      <c r="N2" s="4" t="inlineStr">
        <is>
          <t>=ИЛИ(B2&lt;7;B2&gt;65) және төмен созып көшіру</t>
        </is>
      </c>
      <c r="O2" s="4" t="inlineStr">
        <is>
          <t>ИСТИНА</t>
        </is>
      </c>
    </row>
    <row r="3">
      <c r="A3" t="inlineStr">
        <is>
          <t>Серік</t>
        </is>
      </c>
      <c r="B3" t="n">
        <v>68</v>
      </c>
      <c r="C3" t="inlineStr">
        <is>
          <t>ср</t>
        </is>
      </c>
      <c r="D3" s="3">
        <f>OR(B3&lt;7,B3&gt;65)</f>
        <v/>
      </c>
      <c r="E3" s="3">
        <f>OR(C3="сн",C3="жс")</f>
        <v/>
      </c>
      <c r="F3" s="3">
        <f>IF(E3,2500,1800)</f>
        <v/>
      </c>
      <c r="G3" s="3">
        <f>IF(D3,F3/2,F3)</f>
        <v/>
      </c>
      <c r="H3" s="3">
        <f>NOT(E3)</f>
        <v/>
      </c>
      <c r="K3" s="4" t="n">
        <v>2</v>
      </c>
      <c r="L3" s="4" t="inlineStr">
        <is>
          <t>Мәтінмен ИЛИ</t>
        </is>
      </c>
      <c r="M3" s="4" t="inlineStr">
        <is>
          <t>E2:E7 (жауап E5 ұяшығында)</t>
        </is>
      </c>
      <c r="N3" s="4" t="inlineStr">
        <is>
          <t>=ИЛИ(C2="сн";C2="жс") және төмен созып көшіру</t>
        </is>
      </c>
      <c r="O3" s="4" t="inlineStr">
        <is>
          <t>ИСТИНА</t>
        </is>
      </c>
    </row>
    <row r="4">
      <c r="A4" t="inlineStr">
        <is>
          <t>Тимур</t>
        </is>
      </c>
      <c r="B4" t="n">
        <v>6</v>
      </c>
      <c r="C4" t="inlineStr">
        <is>
          <t>сн</t>
        </is>
      </c>
      <c r="D4" s="3">
        <f>OR(B4&lt;7,B4&gt;65)</f>
        <v/>
      </c>
      <c r="E4" s="3">
        <f>OR(C4="сн",C4="жс")</f>
        <v/>
      </c>
      <c r="F4" s="3">
        <f>IF(E4,2500,1800)</f>
        <v/>
      </c>
      <c r="G4" s="3">
        <f>IF(D4,F4/2,F4)</f>
        <v/>
      </c>
      <c r="H4" s="3">
        <f>NOT(E4)</f>
        <v/>
      </c>
      <c r="K4" s="4" t="n">
        <v>3</v>
      </c>
      <c r="L4" s="4" t="inlineStr">
        <is>
          <t>ЕСЛИ: баға</t>
        </is>
      </c>
      <c r="M4" s="4" t="inlineStr">
        <is>
          <t>F2:F7 (жауап F4 ұяшығында)</t>
        </is>
      </c>
      <c r="N4" s="4" t="inlineStr">
        <is>
          <t>=ЕСЛИ(E2;2500;1800) және төмен созып көшіру</t>
        </is>
      </c>
      <c r="O4" s="4" t="n">
        <v>2500</v>
      </c>
    </row>
    <row r="5">
      <c r="A5" t="inlineStr">
        <is>
          <t>Дана</t>
        </is>
      </c>
      <c r="B5" t="n">
        <v>25</v>
      </c>
      <c r="C5" t="inlineStr">
        <is>
          <t>жс</t>
        </is>
      </c>
      <c r="D5" s="3">
        <f>OR(B5&lt;7,B5&gt;65)</f>
        <v/>
      </c>
      <c r="E5" s="3">
        <f>OR(C5="сн",C5="жс")</f>
        <v/>
      </c>
      <c r="F5" s="3">
        <f>IF(E5,2500,1800)</f>
        <v/>
      </c>
      <c r="G5" s="3">
        <f>IF(D5,F5/2,F5)</f>
        <v/>
      </c>
      <c r="H5" s="3">
        <f>NOT(E5)</f>
        <v/>
      </c>
      <c r="K5" s="4" t="n">
        <v>4</v>
      </c>
      <c r="L5" s="4" t="inlineStr">
        <is>
          <t>ЕСЛИ: жеңілдік</t>
        </is>
      </c>
      <c r="M5" s="4" t="inlineStr">
        <is>
          <t>G2:G7 (жауап G4 ұяшығында)</t>
        </is>
      </c>
      <c r="N5" s="4" t="inlineStr">
        <is>
          <t>=ЕСЛИ(D2;F2/2;F2) және төмен созып көшіру</t>
        </is>
      </c>
      <c r="O5" s="4" t="n">
        <v>1250</v>
      </c>
    </row>
    <row r="6">
      <c r="A6" t="inlineStr">
        <is>
          <t>Арман</t>
        </is>
      </c>
      <c r="B6" t="n">
        <v>30</v>
      </c>
      <c r="C6" t="inlineStr">
        <is>
          <t>сс</t>
        </is>
      </c>
      <c r="D6" s="3">
        <f>OR(B6&lt;7,B6&gt;65)</f>
        <v/>
      </c>
      <c r="E6" s="3">
        <f>OR(C6="сн",C6="жс")</f>
        <v/>
      </c>
      <c r="F6" s="3">
        <f>IF(E6,2500,1800)</f>
        <v/>
      </c>
      <c r="G6" s="3">
        <f>IF(D6,F6/2,F6)</f>
        <v/>
      </c>
      <c r="H6" s="3">
        <f>NOT(E6)</f>
        <v/>
      </c>
      <c r="K6" s="4" t="n">
        <v>5</v>
      </c>
      <c r="L6" s="4" t="inlineStr">
        <is>
          <t>НЕ</t>
        </is>
      </c>
      <c r="M6" s="4" t="inlineStr">
        <is>
          <t>H2:H7 (жауап H6 ұяшығында)</t>
        </is>
      </c>
      <c r="N6" s="4" t="inlineStr">
        <is>
          <t>=НЕ(E2) және төмен созып көшіру</t>
        </is>
      </c>
      <c r="O6" s="4" t="inlineStr">
        <is>
          <t>ИСТИНА</t>
        </is>
      </c>
    </row>
    <row r="7">
      <c r="A7" t="inlineStr">
        <is>
          <t>Мадина</t>
        </is>
      </c>
      <c r="B7" t="n">
        <v>15</v>
      </c>
      <c r="C7" t="inlineStr">
        <is>
          <t>сн</t>
        </is>
      </c>
      <c r="D7" s="3">
        <f>OR(B7&lt;7,B7&gt;65)</f>
        <v/>
      </c>
      <c r="E7" s="3">
        <f>OR(C7="сн",C7="жс")</f>
        <v/>
      </c>
      <c r="F7" s="3">
        <f>IF(E7,2500,1800)</f>
        <v/>
      </c>
      <c r="G7" s="3">
        <f>IF(D7,F7/2,F7)</f>
        <v/>
      </c>
      <c r="H7" s="3">
        <f>NOT(E7)</f>
        <v/>
      </c>
      <c r="K7" s="4" t="n">
        <v>6</v>
      </c>
      <c r="L7" s="4" t="inlineStr">
        <is>
          <t>күрделі: түсім</t>
        </is>
      </c>
      <c r="M7" s="4" t="inlineStr">
        <is>
          <t>G8</t>
        </is>
      </c>
      <c r="N7" s="4" t="inlineStr">
        <is>
          <t>=СУММ(G2:G7)</t>
        </is>
      </c>
      <c r="O7" s="4" t="n">
        <v>10750</v>
      </c>
    </row>
    <row r="8">
      <c r="A8" t="inlineStr">
        <is>
          <t>Түсім</t>
        </is>
      </c>
      <c r="G8" s="3">
        <f>SUM(G2:G7)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Студент</t>
        </is>
      </c>
      <c r="B1" s="1" t="inlineStr">
        <is>
          <t>Орташа балл</t>
        </is>
      </c>
      <c r="C1" s="1" t="inlineStr">
        <is>
          <t>Сабақ босату</t>
        </is>
      </c>
      <c r="D1" s="1" t="inlineStr">
        <is>
          <t>Олимпиада</t>
        </is>
      </c>
      <c r="E1" s="1" t="inlineStr">
        <is>
          <t>Шәкіртақы</t>
        </is>
      </c>
      <c r="F1" s="1" t="inlineStr">
        <is>
          <t>Жоғары</t>
        </is>
      </c>
      <c r="G1" s="1" t="inlineStr">
        <is>
          <t>Мақтау қағазы</t>
        </is>
      </c>
      <c r="H1" s="1" t="inlineStr">
        <is>
          <t>Әңгіме</t>
        </is>
      </c>
      <c r="I1" s="1" t="inlineStr">
        <is>
          <t>Сомасы, тг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Айдана</t>
        </is>
      </c>
      <c r="B2" t="n">
        <v>4.8</v>
      </c>
      <c r="C2" t="n">
        <v>2</v>
      </c>
      <c r="D2" t="inlineStr">
        <is>
          <t>иә</t>
        </is>
      </c>
      <c r="E2" s="3">
        <f>AND(B2&gt;=4.5,C2&lt;=5)</f>
        <v/>
      </c>
      <c r="F2" s="3">
        <f>IF(AND(E2,D2="иә"),"иә","жоқ")</f>
        <v/>
      </c>
      <c r="G2" s="3">
        <f>OR(B2=5,D2="иә")</f>
        <v/>
      </c>
      <c r="H2" s="3">
        <f>NOT(E2)</f>
        <v/>
      </c>
      <c r="I2" s="3">
        <f>IF(F2="иә",60000,IF(E2,40000,0))</f>
        <v/>
      </c>
      <c r="K2" s="4" t="n">
        <v>1</v>
      </c>
      <c r="L2" s="4" t="inlineStr">
        <is>
          <t>И</t>
        </is>
      </c>
      <c r="M2" s="4" t="inlineStr">
        <is>
          <t>E2:E6 (жауап E5 ұяшығында)</t>
        </is>
      </c>
      <c r="N2" s="4" t="inlineStr">
        <is>
          <t>=И(B2&gt;=4,5;C2&lt;=5) және төмен созып көшіру</t>
        </is>
      </c>
      <c r="O2" s="4" t="inlineStr">
        <is>
          <t>ЛОЖЬ</t>
        </is>
      </c>
    </row>
    <row r="3">
      <c r="A3" t="inlineStr">
        <is>
          <t>Тимур</t>
        </is>
      </c>
      <c r="B3" t="n">
        <v>4.2</v>
      </c>
      <c r="C3" t="n">
        <v>0</v>
      </c>
      <c r="D3" t="inlineStr">
        <is>
          <t>жоқ</t>
        </is>
      </c>
      <c r="E3" s="3">
        <f>AND(B3&gt;=4.5,C3&lt;=5)</f>
        <v/>
      </c>
      <c r="F3" s="3">
        <f>IF(AND(E3,D3="иә"),"иә","жоқ")</f>
        <v/>
      </c>
      <c r="G3" s="3">
        <f>OR(B3=5,D3="иә")</f>
        <v/>
      </c>
      <c r="H3" s="3">
        <f>NOT(E3)</f>
        <v/>
      </c>
      <c r="I3" s="3">
        <f>IF(F3="иә",60000,IF(E3,40000,0))</f>
        <v/>
      </c>
      <c r="K3" s="4" t="n">
        <v>2</v>
      </c>
      <c r="L3" s="4" t="inlineStr">
        <is>
          <t>ЕСЛИ + И</t>
        </is>
      </c>
      <c r="M3" s="4" t="inlineStr">
        <is>
          <t>F2:F6 (жауап F2 ұяшығында)</t>
        </is>
      </c>
      <c r="N3" s="4" t="inlineStr">
        <is>
          <t>=ЕСЛИ(И(E2;D2="иә");"иә";"жоқ") және төмен созып көшіру</t>
        </is>
      </c>
      <c r="O3" s="4" t="inlineStr">
        <is>
          <t>иә</t>
        </is>
      </c>
    </row>
    <row r="4">
      <c r="A4" t="inlineStr">
        <is>
          <t>Дана</t>
        </is>
      </c>
      <c r="B4" t="n">
        <v>3.9</v>
      </c>
      <c r="C4" t="n">
        <v>5</v>
      </c>
      <c r="D4" t="inlineStr">
        <is>
          <t>иә</t>
        </is>
      </c>
      <c r="E4" s="3">
        <f>AND(B4&gt;=4.5,C4&lt;=5)</f>
        <v/>
      </c>
      <c r="F4" s="3">
        <f>IF(AND(E4,D4="иә"),"иә","жоқ")</f>
        <v/>
      </c>
      <c r="G4" s="3">
        <f>OR(B4=5,D4="иә")</f>
        <v/>
      </c>
      <c r="H4" s="3">
        <f>NOT(E4)</f>
        <v/>
      </c>
      <c r="I4" s="3">
        <f>IF(F4="иә",60000,IF(E4,40000,0))</f>
        <v/>
      </c>
      <c r="K4" s="4" t="n">
        <v>3</v>
      </c>
      <c r="L4" s="4" t="inlineStr">
        <is>
          <t>ИЛИ</t>
        </is>
      </c>
      <c r="M4" s="4" t="inlineStr">
        <is>
          <t>G2:G6 (жауап G4 ұяшығында)</t>
        </is>
      </c>
      <c r="N4" s="4" t="inlineStr">
        <is>
          <t>=ИЛИ(B2=5;D2="иә") және төмен созып көшіру</t>
        </is>
      </c>
      <c r="O4" s="4" t="inlineStr">
        <is>
          <t>ИСТИНА</t>
        </is>
      </c>
    </row>
    <row r="5">
      <c r="A5" t="inlineStr">
        <is>
          <t>Арман</t>
        </is>
      </c>
      <c r="B5" t="n">
        <v>4.6</v>
      </c>
      <c r="C5" t="n">
        <v>12</v>
      </c>
      <c r="D5" t="inlineStr">
        <is>
          <t>жоқ</t>
        </is>
      </c>
      <c r="E5" s="3">
        <f>AND(B5&gt;=4.5,C5&lt;=5)</f>
        <v/>
      </c>
      <c r="F5" s="3">
        <f>IF(AND(E5,D5="иә"),"иә","жоқ")</f>
        <v/>
      </c>
      <c r="G5" s="3">
        <f>OR(B5=5,D5="иә")</f>
        <v/>
      </c>
      <c r="H5" s="3">
        <f>NOT(E5)</f>
        <v/>
      </c>
      <c r="I5" s="3">
        <f>IF(F5="иә",60000,IF(E5,40000,0))</f>
        <v/>
      </c>
      <c r="K5" s="4" t="n">
        <v>4</v>
      </c>
      <c r="L5" s="4" t="inlineStr">
        <is>
          <t>НЕ</t>
        </is>
      </c>
      <c r="M5" s="4" t="inlineStr">
        <is>
          <t>H2:H6 (жауап H3 ұяшығында)</t>
        </is>
      </c>
      <c r="N5" s="4" t="inlineStr">
        <is>
          <t>=НЕ(E2) және төмен созып көшіру</t>
        </is>
      </c>
      <c r="O5" s="4" t="inlineStr">
        <is>
          <t>ИСТИНА</t>
        </is>
      </c>
    </row>
    <row r="6">
      <c r="A6" t="inlineStr">
        <is>
          <t>Мадина</t>
        </is>
      </c>
      <c r="B6" t="n">
        <v>5</v>
      </c>
      <c r="C6" t="n">
        <v>1</v>
      </c>
      <c r="D6" t="inlineStr">
        <is>
          <t>жоқ</t>
        </is>
      </c>
      <c r="E6" s="3">
        <f>AND(B6&gt;=4.5,C6&lt;=5)</f>
        <v/>
      </c>
      <c r="F6" s="3">
        <f>IF(AND(E6,D6="иә"),"иә","жоқ")</f>
        <v/>
      </c>
      <c r="G6" s="3">
        <f>OR(B6=5,D6="иә")</f>
        <v/>
      </c>
      <c r="H6" s="3">
        <f>NOT(E6)</f>
        <v/>
      </c>
      <c r="I6" s="3">
        <f>IF(F6="иә",60000,IF(E6,40000,0))</f>
        <v/>
      </c>
      <c r="K6" s="4" t="n">
        <v>5</v>
      </c>
      <c r="L6" s="4" t="inlineStr">
        <is>
          <t>ЕСЛИ ішінде ЕСЛИ</t>
        </is>
      </c>
      <c r="M6" s="4" t="inlineStr">
        <is>
          <t>I2:I6 (жауап I6 ұяшығында)</t>
        </is>
      </c>
      <c r="N6" s="4" t="inlineStr">
        <is>
          <t>=ЕСЛИ(F2="иә";60000;ЕСЛИ(E2;40000;0)) және төмен созып көшіру</t>
        </is>
      </c>
      <c r="O6" s="4" t="n">
        <v>40000</v>
      </c>
    </row>
    <row r="7">
      <c r="K7" s="4" t="n">
        <v>6</v>
      </c>
      <c r="L7" s="4" t="inlineStr">
        <is>
          <t>күрделі: барлығы</t>
        </is>
      </c>
      <c r="M7" s="4" t="inlineStr">
        <is>
          <t>I8</t>
        </is>
      </c>
      <c r="N7" s="4" t="inlineStr">
        <is>
          <t>=СУММ(I2:I6)</t>
        </is>
      </c>
      <c r="O7" s="4" t="n">
        <v>100000</v>
      </c>
    </row>
    <row r="8">
      <c r="A8" t="inlineStr">
        <is>
          <t>Барлығы</t>
        </is>
      </c>
      <c r="I8" s="3">
        <f>SUM(I2:I6)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2026-10-24T17:31:31Z</dcterms:created>
  <dcterms:modified xmlns:dcterms="http://purl.org/dc/terms/" xmlns:xsi="http://www.w3.org/2001/XMLSchema-instance" xsi:type="dcterms:W3CDTF">2026-10-24T17:31:31Z</dcterms:modified>
</cp:coreProperties>
</file>