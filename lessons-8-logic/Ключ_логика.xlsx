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ак пользоваться" sheetId="1" state="visible" r:id="rId1"/>
    <sheet xmlns:r="http://schemas.openxmlformats.org/officeDocument/2006/relationships" name="S1" sheetId="2" state="visible" r:id="rId2"/>
    <sheet xmlns:r="http://schemas.openxmlformats.org/officeDocument/2006/relationships" name="S2" sheetId="3" state="visible" r:id="rId3"/>
    <sheet xmlns:r="http://schemas.openxmlformats.org/officeDocument/2006/relationships" name="S3" sheetId="4" state="visible" r:id="rId4"/>
    <sheet xmlns:r="http://schemas.openxmlformats.org/officeDocument/2006/relationships" name="S4" sheetId="5" state="visible" r:id="rId5"/>
    <sheet xmlns:r="http://schemas.openxmlformats.org/officeDocument/2006/relationships" name="S5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FF4CC"/>
      </patternFill>
    </fill>
    <fill>
      <patternFill patternType="solid">
        <fgColor rgb="001D7652"/>
      </patternFill>
    </fill>
  </fills>
  <borders count="2">
    <border>
      <left/>
      <right/>
      <top/>
      <bottom/>
      <diagonal/>
    </border>
    <border>
      <bottom style="thin">
        <color rgb="00C9D3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t="inlineStr">
        <is>
          <t>Ключ к этапу «Работа в Excel» (урок «Логические функции», 8 класс).</t>
        </is>
      </c>
    </row>
    <row r="2">
      <c r="A2" t="inlineStr">
        <is>
          <t>На листах S1–S5 — таблица сценария и все формулы учеников уже вписаны (жёлтые ячейки).</t>
        </is>
      </c>
    </row>
    <row r="3">
      <c r="A3" t="inlineStr">
        <is>
          <t>Справа — шаги: где формула, формула в русском Excel и правильный ответ.</t>
        </is>
      </c>
    </row>
    <row r="4">
      <c r="A4" t="inlineStr">
        <is>
          <t>Шаги «измени …» ученик выполняет сам: в файле данные исходные, а ответ к такому шагу — после изменения.</t>
        </is>
      </c>
    </row>
    <row r="5">
      <c r="A5" t="inlineStr">
        <is>
          <t>Формулы записаны так, что русский Excel покажет их по-русски: ЕСЛИ, И, ИЛИ, НЕ, СУММ.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6" customWidth="1" min="11" max="11"/>
    <col width="24" customWidth="1" min="12" max="12"/>
    <col width="16" customWidth="1" min="13" max="13"/>
    <col width="48" customWidth="1" min="14" max="14"/>
    <col width="12" customWidth="1" min="15" max="15"/>
  </cols>
  <sheetData>
    <row r="1">
      <c r="A1" s="1" t="inlineStr">
        <is>
          <t>Ученик</t>
        </is>
      </c>
      <c r="B1" s="1" t="inlineStr">
        <is>
          <t>Балл</t>
        </is>
      </c>
      <c r="C1" s="1" t="inlineStr">
        <is>
          <t>Итог</t>
        </is>
      </c>
      <c r="D1" s="1" t="inlineStr">
        <is>
          <t>50 и больше?</t>
        </is>
      </c>
      <c r="E1" s="1" t="inlineStr">
        <is>
          <t>Бонус</t>
        </is>
      </c>
      <c r="F1" s="1" t="inlineStr">
        <is>
          <t>Зачёт = 1</t>
        </is>
      </c>
      <c r="K1" s="2" t="inlineStr">
        <is>
          <t>Шаг</t>
        </is>
      </c>
      <c r="L1" s="2" t="inlineStr">
        <is>
          <t>Тип шага</t>
        </is>
      </c>
      <c r="M1" s="2" t="inlineStr">
        <is>
          <t>Где</t>
        </is>
      </c>
      <c r="N1" s="2" t="inlineStr">
        <is>
          <t>Формула (русский Excel)</t>
        </is>
      </c>
      <c r="O1" s="2" t="inlineStr">
        <is>
          <t>Ответ</t>
        </is>
      </c>
    </row>
    <row r="2">
      <c r="A2" t="inlineStr">
        <is>
          <t>Айдана</t>
        </is>
      </c>
      <c r="B2" t="n">
        <v>72</v>
      </c>
      <c r="C2" s="3">
        <f>IF(B2&gt;=50,"зачёт","незачёт")</f>
        <v/>
      </c>
      <c r="D2" s="3">
        <f>B2&gt;=50</f>
        <v/>
      </c>
      <c r="E2" s="3">
        <f>IF(B2&gt;=85,5,0)</f>
        <v/>
      </c>
      <c r="F2" s="3">
        <f>IF(C2="зачёт",1,0)</f>
        <v/>
      </c>
      <c r="K2" s="4" t="n">
        <v>1</v>
      </c>
      <c r="L2" s="4" t="inlineStr">
        <is>
          <t>сравнение</t>
        </is>
      </c>
      <c r="M2" s="4" t="inlineStr">
        <is>
          <t>D2</t>
        </is>
      </c>
      <c r="N2" s="4" t="inlineStr">
        <is>
          <t>=B2&gt;=50</t>
        </is>
      </c>
      <c r="O2" s="4" t="inlineStr">
        <is>
          <t>ИСТИНА</t>
        </is>
      </c>
    </row>
    <row r="3">
      <c r="A3" t="inlineStr">
        <is>
          <t>Тимур</t>
        </is>
      </c>
      <c r="B3" t="n">
        <v>45</v>
      </c>
      <c r="C3" s="3">
        <f>IF(B3&gt;=50,"зачёт","незачёт")</f>
        <v/>
      </c>
      <c r="E3" s="3">
        <f>IF(B3&gt;=85,5,0)</f>
        <v/>
      </c>
      <c r="F3" s="3">
        <f>IF(C3="зачёт",1,0)</f>
        <v/>
      </c>
      <c r="K3" s="4" t="n">
        <v>2</v>
      </c>
      <c r="L3" s="4" t="inlineStr">
        <is>
          <t>ЕСЛИ с текстом</t>
        </is>
      </c>
      <c r="M3" s="4" t="inlineStr">
        <is>
          <t>C2</t>
        </is>
      </c>
      <c r="N3" s="4" t="inlineStr">
        <is>
          <t>=ЕСЛИ(B2&gt;=50;"зачёт";"незачёт")</t>
        </is>
      </c>
      <c r="O3" s="4" t="inlineStr">
        <is>
          <t>зачёт</t>
        </is>
      </c>
    </row>
    <row r="4">
      <c r="A4" t="inlineStr">
        <is>
          <t>Дана</t>
        </is>
      </c>
      <c r="B4" t="n">
        <v>50</v>
      </c>
      <c r="C4" s="3">
        <f>IF(B4&gt;=50,"зачёт","незачёт")</f>
        <v/>
      </c>
      <c r="E4" s="3">
        <f>IF(B4&gt;=85,5,0)</f>
        <v/>
      </c>
      <c r="F4" s="3">
        <f>IF(C4="зачёт",1,0)</f>
        <v/>
      </c>
      <c r="K4" s="4" t="n">
        <v>3</v>
      </c>
      <c r="L4" s="4" t="inlineStr">
        <is>
          <t>протянуть вниз</t>
        </is>
      </c>
      <c r="M4" s="4" t="inlineStr">
        <is>
          <t>C2:C7 (ответ в C4)</t>
        </is>
      </c>
      <c r="N4" s="4" t="inlineStr">
        <is>
          <t>=ЕСЛИ(B2&gt;=50;"зачёт";"незачёт") и протянуть вниз</t>
        </is>
      </c>
      <c r="O4" s="4" t="inlineStr">
        <is>
          <t>зачёт</t>
        </is>
      </c>
    </row>
    <row r="5">
      <c r="A5" t="inlineStr">
        <is>
          <t>Арман</t>
        </is>
      </c>
      <c r="B5" t="n">
        <v>38</v>
      </c>
      <c r="C5" s="3">
        <f>IF(B5&gt;=50,"зачёт","незачёт")</f>
        <v/>
      </c>
      <c r="E5" s="3">
        <f>IF(B5&gt;=85,5,0)</f>
        <v/>
      </c>
      <c r="F5" s="3">
        <f>IF(C5="зачёт",1,0)</f>
        <v/>
      </c>
      <c r="K5" s="4" t="n">
        <v>4</v>
      </c>
      <c r="L5" s="4" t="inlineStr">
        <is>
          <t>ЕСЛИ с числами</t>
        </is>
      </c>
      <c r="M5" s="4" t="inlineStr">
        <is>
          <t>E2:E7 (ответ в E6)</t>
        </is>
      </c>
      <c r="N5" s="4" t="inlineStr">
        <is>
          <t>=ЕСЛИ(B2&gt;=85;5;0) и протянуть вниз</t>
        </is>
      </c>
      <c r="O5" s="4" t="n">
        <v>5</v>
      </c>
    </row>
    <row r="6">
      <c r="A6" t="inlineStr">
        <is>
          <t>Мадина</t>
        </is>
      </c>
      <c r="B6" t="n">
        <v>91</v>
      </c>
      <c r="C6" s="3">
        <f>IF(B6&gt;=50,"зачёт","незачёт")</f>
        <v/>
      </c>
      <c r="E6" s="3">
        <f>IF(B6&gt;=85,5,0)</f>
        <v/>
      </c>
      <c r="F6" s="3">
        <f>IF(C6="зачёт",1,0)</f>
        <v/>
      </c>
      <c r="K6" s="4" t="n">
        <v>5</v>
      </c>
      <c r="L6" s="4" t="inlineStr">
        <is>
          <t>условие с текстом</t>
        </is>
      </c>
      <c r="M6" s="4" t="inlineStr">
        <is>
          <t>F2:F7 (ответ в F3)</t>
        </is>
      </c>
      <c r="N6" s="4" t="inlineStr">
        <is>
          <t>=ЕСЛИ(C2="зачёт";1;0) и протянуть вниз</t>
        </is>
      </c>
      <c r="O6" s="4" t="n">
        <v>0</v>
      </c>
    </row>
    <row r="7">
      <c r="A7" t="inlineStr">
        <is>
          <t>Ерлан</t>
        </is>
      </c>
      <c r="B7" t="n">
        <v>64</v>
      </c>
      <c r="C7" s="3">
        <f>IF(B7&gt;=50,"зачёт","незачёт")</f>
        <v/>
      </c>
      <c r="E7" s="3">
        <f>IF(B7&gt;=85,5,0)</f>
        <v/>
      </c>
      <c r="F7" s="3">
        <f>IF(C7="зачёт",1,0)</f>
        <v/>
      </c>
      <c r="K7" s="4" t="n">
        <v>6</v>
      </c>
      <c r="L7" s="4" t="inlineStr">
        <is>
          <t>сложное: граница</t>
        </is>
      </c>
      <c r="M7" s="4" t="inlineStr">
        <is>
          <t>C3</t>
        </is>
      </c>
      <c r="N7" s="4" t="inlineStr">
        <is>
          <t>измени B3 → 50</t>
        </is>
      </c>
      <c r="O7" s="4" t="inlineStr">
        <is>
          <t>зачёт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6" customWidth="1" min="11" max="11"/>
    <col width="24" customWidth="1" min="12" max="12"/>
    <col width="16" customWidth="1" min="13" max="13"/>
    <col width="48" customWidth="1" min="14" max="14"/>
    <col width="12" customWidth="1" min="15" max="15"/>
  </cols>
  <sheetData>
    <row r="1">
      <c r="A1" s="1" t="inlineStr">
        <is>
          <t>Заказ</t>
        </is>
      </c>
      <c r="B1" s="1" t="inlineStr">
        <is>
          <t>Сумма, тг</t>
        </is>
      </c>
      <c r="C1" s="1" t="inlineStr">
        <is>
          <t>Доставка, тг</t>
        </is>
      </c>
      <c r="D1" s="1" t="inlineStr">
        <is>
          <t>Скидка, тг</t>
        </is>
      </c>
      <c r="E1" s="1" t="inlineStr">
        <is>
          <t>К оплате, тг</t>
        </is>
      </c>
      <c r="F1" s="1" t="inlineStr">
        <is>
          <t>Тип заказа</t>
        </is>
      </c>
      <c r="K1" s="2" t="inlineStr">
        <is>
          <t>Шаг</t>
        </is>
      </c>
      <c r="L1" s="2" t="inlineStr">
        <is>
          <t>Тип шага</t>
        </is>
      </c>
      <c r="M1" s="2" t="inlineStr">
        <is>
          <t>Где</t>
        </is>
      </c>
      <c r="N1" s="2" t="inlineStr">
        <is>
          <t>Формула (русский Excel)</t>
        </is>
      </c>
      <c r="O1" s="2" t="inlineStr">
        <is>
          <t>Ответ</t>
        </is>
      </c>
    </row>
    <row r="2">
      <c r="A2" t="inlineStr">
        <is>
          <t>№1</t>
        </is>
      </c>
      <c r="B2" t="n">
        <v>3500</v>
      </c>
      <c r="C2" s="3">
        <f>IF(B2&gt;=5000,0,700)</f>
        <v/>
      </c>
      <c r="D2" s="3">
        <f>IF(B2&gt;10000,B2*0.1,0)</f>
        <v/>
      </c>
      <c r="E2" s="3">
        <f>B2+C2-D2</f>
        <v/>
      </c>
      <c r="F2" s="3">
        <f>IF(E2&gt;5000,"крупный","обычный")</f>
        <v/>
      </c>
      <c r="K2" s="4" t="n">
        <v>1</v>
      </c>
      <c r="L2" s="4" t="inlineStr">
        <is>
          <t>число в ветке</t>
        </is>
      </c>
      <c r="M2" s="4" t="inlineStr">
        <is>
          <t>C2:C6 (ответ в C3)</t>
        </is>
      </c>
      <c r="N2" s="4" t="inlineStr">
        <is>
          <t>=ЕСЛИ(B2&gt;=5000;0;700) и протянуть вниз</t>
        </is>
      </c>
      <c r="O2" s="4" t="n">
        <v>0</v>
      </c>
    </row>
    <row r="3">
      <c r="A3" t="inlineStr">
        <is>
          <t>№2</t>
        </is>
      </c>
      <c r="B3" t="n">
        <v>5000</v>
      </c>
      <c r="C3" s="3">
        <f>IF(B3&gt;=5000,0,700)</f>
        <v/>
      </c>
      <c r="D3" s="3">
        <f>IF(B3&gt;10000,B3*0.1,0)</f>
        <v/>
      </c>
      <c r="E3" s="3">
        <f>B3+C3-D3</f>
        <v/>
      </c>
      <c r="F3" s="3">
        <f>IF(E3&gt;5000,"крупный","обычный")</f>
        <v/>
      </c>
      <c r="K3" s="4" t="n">
        <v>2</v>
      </c>
      <c r="L3" s="4" t="inlineStr">
        <is>
          <t>вычисление в ветке</t>
        </is>
      </c>
      <c r="M3" s="4" t="inlineStr">
        <is>
          <t>D2:D6 (ответ в D4)</t>
        </is>
      </c>
      <c r="N3" s="4" t="inlineStr">
        <is>
          <t>=ЕСЛИ(B2&gt;10000;B2*0,1;0) и протянуть вниз</t>
        </is>
      </c>
      <c r="O3" s="4" t="n">
        <v>1200</v>
      </c>
    </row>
    <row r="4">
      <c r="A4" t="inlineStr">
        <is>
          <t>№3</t>
        </is>
      </c>
      <c r="B4" t="n">
        <v>12000</v>
      </c>
      <c r="C4" s="3">
        <f>IF(B4&gt;=5000,0,700)</f>
        <v/>
      </c>
      <c r="D4" s="3">
        <f>IF(B4&gt;10000,B4*0.1,0)</f>
        <v/>
      </c>
      <c r="E4" s="3">
        <f>B4+C4-D4</f>
        <v/>
      </c>
      <c r="F4" s="3">
        <f>IF(E4&gt;5000,"крупный","обычный")</f>
        <v/>
      </c>
      <c r="K4" s="4" t="n">
        <v>3</v>
      </c>
      <c r="L4" s="4" t="inlineStr">
        <is>
          <t>итог по строке</t>
        </is>
      </c>
      <c r="M4" s="4" t="inlineStr">
        <is>
          <t>E2:E6 (ответ в E5)</t>
        </is>
      </c>
      <c r="N4" s="4" t="inlineStr">
        <is>
          <t>=B2+C2-D2 и протянуть вниз</t>
        </is>
      </c>
      <c r="O4" s="4" t="n">
        <v>1500</v>
      </c>
    </row>
    <row r="5">
      <c r="A5" t="inlineStr">
        <is>
          <t>№4</t>
        </is>
      </c>
      <c r="B5" t="n">
        <v>800</v>
      </c>
      <c r="C5" s="3">
        <f>IF(B5&gt;=5000,0,700)</f>
        <v/>
      </c>
      <c r="D5" s="3">
        <f>IF(B5&gt;10000,B5*0.1,0)</f>
        <v/>
      </c>
      <c r="E5" s="3">
        <f>B5+C5-D5</f>
        <v/>
      </c>
      <c r="F5" s="3">
        <f>IF(E5&gt;5000,"крупный","обычный")</f>
        <v/>
      </c>
      <c r="K5" s="4" t="n">
        <v>4</v>
      </c>
      <c r="L5" s="4" t="inlineStr">
        <is>
          <t>СУММ</t>
        </is>
      </c>
      <c r="M5" s="4" t="inlineStr">
        <is>
          <t>E7</t>
        </is>
      </c>
      <c r="N5" s="4" t="inlineStr">
        <is>
          <t>=СУММ(E2:E6)</t>
        </is>
      </c>
      <c r="O5" s="4" t="n">
        <v>31500</v>
      </c>
    </row>
    <row r="6">
      <c r="A6" t="inlineStr">
        <is>
          <t>№5</t>
        </is>
      </c>
      <c r="B6" t="n">
        <v>10000</v>
      </c>
      <c r="C6" s="3">
        <f>IF(B6&gt;=5000,0,700)</f>
        <v/>
      </c>
      <c r="D6" s="3">
        <f>IF(B6&gt;10000,B6*0.1,0)</f>
        <v/>
      </c>
      <c r="E6" s="3">
        <f>B6+C6-D6</f>
        <v/>
      </c>
      <c r="F6" s="3">
        <f>IF(E6&gt;5000,"крупный","обычный")</f>
        <v/>
      </c>
      <c r="K6" s="4" t="n">
        <v>5</v>
      </c>
      <c r="L6" s="4" t="inlineStr">
        <is>
          <t>текст по числу</t>
        </is>
      </c>
      <c r="M6" s="4" t="inlineStr">
        <is>
          <t>F2:F6 (ответ в F4)</t>
        </is>
      </c>
      <c r="N6" s="4" t="inlineStr">
        <is>
          <t>=ЕСЛИ(E2&gt;5000;"крупный";"обычный") и протянуть вниз</t>
        </is>
      </c>
      <c r="O6" s="4" t="inlineStr">
        <is>
          <t>крупный</t>
        </is>
      </c>
    </row>
    <row r="7">
      <c r="A7" t="inlineStr">
        <is>
          <t>Всего</t>
        </is>
      </c>
      <c r="E7" s="3">
        <f>SUM(E2:E6)</f>
        <v/>
      </c>
      <c r="K7" s="4" t="n">
        <v>6</v>
      </c>
      <c r="L7" s="4" t="inlineStr">
        <is>
          <t>сложное: измени данные</t>
        </is>
      </c>
      <c r="M7" s="4" t="inlineStr">
        <is>
          <t>E5</t>
        </is>
      </c>
      <c r="N7" s="4" t="inlineStr">
        <is>
          <t>измени B5 → 4900</t>
        </is>
      </c>
      <c r="O7" s="4" t="n">
        <v>5600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6" customWidth="1" min="11" max="11"/>
    <col width="24" customWidth="1" min="12" max="12"/>
    <col width="16" customWidth="1" min="13" max="13"/>
    <col width="48" customWidth="1" min="14" max="14"/>
    <col width="12" customWidth="1" min="15" max="15"/>
  </cols>
  <sheetData>
    <row r="1">
      <c r="A1" s="1" t="inlineStr">
        <is>
          <t>Ученик</t>
        </is>
      </c>
      <c r="B1" s="1" t="inlineStr">
        <is>
          <t>Бег 60 м, с</t>
        </is>
      </c>
      <c r="C1" s="1" t="inlineStr">
        <is>
          <t>Прыжок, см</t>
        </is>
      </c>
      <c r="D1" s="1" t="inlineStr">
        <is>
          <t>Отжимания</t>
        </is>
      </c>
      <c r="E1" s="1" t="inlineStr">
        <is>
          <t>Бег и прыжок</t>
        </is>
      </c>
      <c r="F1" s="1" t="inlineStr">
        <is>
          <t>Все три нормы</t>
        </is>
      </c>
      <c r="G1" s="1" t="inlineStr">
        <is>
          <t>Итог</t>
        </is>
      </c>
      <c r="H1" s="1" t="inlineStr">
        <is>
          <t>Прыжок 150–180</t>
        </is>
      </c>
      <c r="I1" s="1" t="inlineStr">
        <is>
          <t>Пересдача?</t>
        </is>
      </c>
      <c r="K1" s="2" t="inlineStr">
        <is>
          <t>Шаг</t>
        </is>
      </c>
      <c r="L1" s="2" t="inlineStr">
        <is>
          <t>Тип шага</t>
        </is>
      </c>
      <c r="M1" s="2" t="inlineStr">
        <is>
          <t>Где</t>
        </is>
      </c>
      <c r="N1" s="2" t="inlineStr">
        <is>
          <t>Формула (русский Excel)</t>
        </is>
      </c>
      <c r="O1" s="2" t="inlineStr">
        <is>
          <t>Ответ</t>
        </is>
      </c>
    </row>
    <row r="2">
      <c r="A2" t="inlineStr">
        <is>
          <t>Айдана</t>
        </is>
      </c>
      <c r="B2" t="n">
        <v>9.800000000000001</v>
      </c>
      <c r="C2" t="n">
        <v>155</v>
      </c>
      <c r="D2" t="n">
        <v>12</v>
      </c>
      <c r="E2" s="3">
        <f>AND(B2&lt;=10,C2&gt;=150)</f>
        <v/>
      </c>
      <c r="F2" s="3">
        <f>AND(B2&lt;=10,C2&gt;=150,D2&gt;=15)</f>
        <v/>
      </c>
      <c r="G2" s="3">
        <f>IF(AND(B2&lt;=10,C2&gt;=150,D2&gt;=15),"зачёт","пересдача")</f>
        <v/>
      </c>
      <c r="H2" s="3">
        <f>AND(C2&gt;=150,C2&lt;=180)</f>
        <v/>
      </c>
      <c r="I2" s="3">
        <f>NOT(F2)</f>
        <v/>
      </c>
      <c r="K2" s="4" t="n">
        <v>1</v>
      </c>
      <c r="L2" s="4" t="inlineStr">
        <is>
          <t>И из двух условий</t>
        </is>
      </c>
      <c r="M2" s="4" t="inlineStr">
        <is>
          <t>E2:E6 (ответ в E3)</t>
        </is>
      </c>
      <c r="N2" s="4" t="inlineStr">
        <is>
          <t>=И(B2&lt;=10;C2&gt;=150) и протянуть вниз</t>
        </is>
      </c>
      <c r="O2" s="4" t="inlineStr">
        <is>
          <t>ЛОЖЬ</t>
        </is>
      </c>
    </row>
    <row r="3">
      <c r="A3" t="inlineStr">
        <is>
          <t>Тимур</t>
        </is>
      </c>
      <c r="B3" t="n">
        <v>10.4</v>
      </c>
      <c r="C3" t="n">
        <v>170</v>
      </c>
      <c r="D3" t="n">
        <v>25</v>
      </c>
      <c r="E3" s="3">
        <f>AND(B3&lt;=10,C3&gt;=150)</f>
        <v/>
      </c>
      <c r="F3" s="3">
        <f>AND(B3&lt;=10,C3&gt;=150,D3&gt;=15)</f>
        <v/>
      </c>
      <c r="G3" s="3">
        <f>IF(AND(B3&lt;=10,C3&gt;=150,D3&gt;=15),"зачёт","пересдача")</f>
        <v/>
      </c>
      <c r="H3" s="3">
        <f>AND(C3&gt;=150,C3&lt;=180)</f>
        <v/>
      </c>
      <c r="I3" s="3">
        <f>NOT(F3)</f>
        <v/>
      </c>
      <c r="K3" s="4" t="n">
        <v>2</v>
      </c>
      <c r="L3" s="4" t="inlineStr">
        <is>
          <t>И из трёх условий</t>
        </is>
      </c>
      <c r="M3" s="4" t="inlineStr">
        <is>
          <t>F2:F6 (ответ в F5)</t>
        </is>
      </c>
      <c r="N3" s="4" t="inlineStr">
        <is>
          <t>=И(B2&lt;=10;C2&gt;=150;D2&gt;=15) и протянуть вниз</t>
        </is>
      </c>
      <c r="O3" s="4" t="inlineStr">
        <is>
          <t>ИСТИНА</t>
        </is>
      </c>
    </row>
    <row r="4">
      <c r="A4" t="inlineStr">
        <is>
          <t>Дана</t>
        </is>
      </c>
      <c r="B4" t="n">
        <v>9.199999999999999</v>
      </c>
      <c r="C4" t="n">
        <v>140</v>
      </c>
      <c r="D4" t="n">
        <v>18</v>
      </c>
      <c r="E4" s="3">
        <f>AND(B4&lt;=10,C4&gt;=150)</f>
        <v/>
      </c>
      <c r="F4" s="3">
        <f>AND(B4&lt;=10,C4&gt;=150,D4&gt;=15)</f>
        <v/>
      </c>
      <c r="G4" s="3">
        <f>IF(AND(B4&lt;=10,C4&gt;=150,D4&gt;=15),"зачёт","пересдача")</f>
        <v/>
      </c>
      <c r="H4" s="3">
        <f>AND(C4&gt;=150,C4&lt;=180)</f>
        <v/>
      </c>
      <c r="I4" s="3">
        <f>NOT(F4)</f>
        <v/>
      </c>
      <c r="K4" s="4" t="n">
        <v>3</v>
      </c>
      <c r="L4" s="4" t="inlineStr">
        <is>
          <t>ЕСЛИ + И</t>
        </is>
      </c>
      <c r="M4" s="4" t="inlineStr">
        <is>
          <t>G2:G6 (ответ в G2)</t>
        </is>
      </c>
      <c r="N4" s="4" t="inlineStr">
        <is>
          <t>=ЕСЛИ(И(B2&lt;=10;C2&gt;=150;D2&gt;=15);"зачёт";"пересдача") и протянуть вниз</t>
        </is>
      </c>
      <c r="O4" s="4" t="inlineStr">
        <is>
          <t>пересдача</t>
        </is>
      </c>
    </row>
    <row r="5">
      <c r="A5" t="inlineStr">
        <is>
          <t>Арман</t>
        </is>
      </c>
      <c r="B5" t="n">
        <v>8.9</v>
      </c>
      <c r="C5" t="n">
        <v>182</v>
      </c>
      <c r="D5" t="n">
        <v>30</v>
      </c>
      <c r="E5" s="3">
        <f>AND(B5&lt;=10,C5&gt;=150)</f>
        <v/>
      </c>
      <c r="F5" s="3">
        <f>AND(B5&lt;=10,C5&gt;=150,D5&gt;=15)</f>
        <v/>
      </c>
      <c r="G5" s="3">
        <f>IF(AND(B5&lt;=10,C5&gt;=150,D5&gt;=15),"зачёт","пересдача")</f>
        <v/>
      </c>
      <c r="H5" s="3">
        <f>AND(C5&gt;=150,C5&lt;=180)</f>
        <v/>
      </c>
      <c r="I5" s="3">
        <f>NOT(F5)</f>
        <v/>
      </c>
      <c r="K5" s="4" t="n">
        <v>4</v>
      </c>
      <c r="L5" s="4" t="inlineStr">
        <is>
          <t>промежуток</t>
        </is>
      </c>
      <c r="M5" s="4" t="inlineStr">
        <is>
          <t>H2:H6 (ответ в H5)</t>
        </is>
      </c>
      <c r="N5" s="4" t="inlineStr">
        <is>
          <t>=И(C2&gt;=150;C2&lt;=180) и протянуть вниз</t>
        </is>
      </c>
      <c r="O5" s="4" t="inlineStr">
        <is>
          <t>ЛОЖЬ</t>
        </is>
      </c>
    </row>
    <row r="6">
      <c r="A6" t="inlineStr">
        <is>
          <t>Мадина</t>
        </is>
      </c>
      <c r="B6" t="n">
        <v>11</v>
      </c>
      <c r="C6" t="n">
        <v>130</v>
      </c>
      <c r="D6" t="n">
        <v>8</v>
      </c>
      <c r="E6" s="3">
        <f>AND(B6&lt;=10,C6&gt;=150)</f>
        <v/>
      </c>
      <c r="F6" s="3">
        <f>AND(B6&lt;=10,C6&gt;=150,D6&gt;=15)</f>
        <v/>
      </c>
      <c r="G6" s="3">
        <f>IF(AND(B6&lt;=10,C6&gt;=150,D6&gt;=15),"зачёт","пересдача")</f>
        <v/>
      </c>
      <c r="H6" s="3">
        <f>AND(C6&gt;=150,C6&lt;=180)</f>
        <v/>
      </c>
      <c r="I6" s="3">
        <f>NOT(F6)</f>
        <v/>
      </c>
      <c r="K6" s="4" t="n">
        <v>5</v>
      </c>
      <c r="L6" s="4" t="inlineStr">
        <is>
          <t>НЕ</t>
        </is>
      </c>
      <c r="M6" s="4" t="inlineStr">
        <is>
          <t>I2:I6 (ответ в I6)</t>
        </is>
      </c>
      <c r="N6" s="4" t="inlineStr">
        <is>
          <t>=НЕ(F2) и протянуть вниз</t>
        </is>
      </c>
      <c r="O6" s="4" t="inlineStr">
        <is>
          <t>ИСТИНА</t>
        </is>
      </c>
    </row>
    <row r="7">
      <c r="K7" s="4" t="n">
        <v>6</v>
      </c>
      <c r="L7" s="4" t="inlineStr">
        <is>
          <t>сложное: измени данные</t>
        </is>
      </c>
      <c r="M7" s="4" t="inlineStr">
        <is>
          <t>G2</t>
        </is>
      </c>
      <c r="N7" s="4" t="inlineStr">
        <is>
          <t>измени D2 → 15</t>
        </is>
      </c>
      <c r="O7" s="4" t="inlineStr">
        <is>
          <t>зачёт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6" customWidth="1" min="11" max="11"/>
    <col width="24" customWidth="1" min="12" max="12"/>
    <col width="16" customWidth="1" min="13" max="13"/>
    <col width="48" customWidth="1" min="14" max="14"/>
    <col width="12" customWidth="1" min="15" max="15"/>
  </cols>
  <sheetData>
    <row r="1">
      <c r="A1" s="1" t="inlineStr">
        <is>
          <t>Зритель</t>
        </is>
      </c>
      <c r="B1" s="1" t="inlineStr">
        <is>
          <t>Возраст</t>
        </is>
      </c>
      <c r="C1" s="1" t="inlineStr">
        <is>
          <t>День</t>
        </is>
      </c>
      <c r="D1" s="1" t="inlineStr">
        <is>
          <t>Льгота</t>
        </is>
      </c>
      <c r="E1" s="1" t="inlineStr">
        <is>
          <t>Выходной</t>
        </is>
      </c>
      <c r="F1" s="1" t="inlineStr">
        <is>
          <t>Цена, тг</t>
        </is>
      </c>
      <c r="G1" s="1" t="inlineStr">
        <is>
          <t>К оплате, тг</t>
        </is>
      </c>
      <c r="H1" s="1" t="inlineStr">
        <is>
          <t>Будний день</t>
        </is>
      </c>
      <c r="K1" s="2" t="inlineStr">
        <is>
          <t>Шаг</t>
        </is>
      </c>
      <c r="L1" s="2" t="inlineStr">
        <is>
          <t>Тип шага</t>
        </is>
      </c>
      <c r="M1" s="2" t="inlineStr">
        <is>
          <t>Где</t>
        </is>
      </c>
      <c r="N1" s="2" t="inlineStr">
        <is>
          <t>Формула (русский Excel)</t>
        </is>
      </c>
      <c r="O1" s="2" t="inlineStr">
        <is>
          <t>Ответ</t>
        </is>
      </c>
    </row>
    <row r="2">
      <c r="A2" t="inlineStr">
        <is>
          <t>Айдана</t>
        </is>
      </c>
      <c r="B2" t="n">
        <v>13</v>
      </c>
      <c r="C2" t="inlineStr">
        <is>
          <t>пн</t>
        </is>
      </c>
      <c r="D2" s="3">
        <f>OR(B2&lt;7,B2&gt;65)</f>
        <v/>
      </c>
      <c r="E2" s="3">
        <f>OR(C2="сб",C2="вс")</f>
        <v/>
      </c>
      <c r="F2" s="3">
        <f>IF(E2,2500,1800)</f>
        <v/>
      </c>
      <c r="G2" s="3">
        <f>IF(D2,F2/2,F2)</f>
        <v/>
      </c>
      <c r="H2" s="3">
        <f>NOT(E2)</f>
        <v/>
      </c>
      <c r="K2" s="4" t="n">
        <v>1</v>
      </c>
      <c r="L2" s="4" t="inlineStr">
        <is>
          <t>ИЛИ: возраст</t>
        </is>
      </c>
      <c r="M2" s="4" t="inlineStr">
        <is>
          <t>D2:D7 (ответ в D3)</t>
        </is>
      </c>
      <c r="N2" s="4" t="inlineStr">
        <is>
          <t>=ИЛИ(B2&lt;7;B2&gt;65) и протянуть вниз</t>
        </is>
      </c>
      <c r="O2" s="4" t="inlineStr">
        <is>
          <t>ИСТИНА</t>
        </is>
      </c>
    </row>
    <row r="3">
      <c r="A3" t="inlineStr">
        <is>
          <t>Серик</t>
        </is>
      </c>
      <c r="B3" t="n">
        <v>68</v>
      </c>
      <c r="C3" t="inlineStr">
        <is>
          <t>ср</t>
        </is>
      </c>
      <c r="D3" s="3">
        <f>OR(B3&lt;7,B3&gt;65)</f>
        <v/>
      </c>
      <c r="E3" s="3">
        <f>OR(C3="сб",C3="вс")</f>
        <v/>
      </c>
      <c r="F3" s="3">
        <f>IF(E3,2500,1800)</f>
        <v/>
      </c>
      <c r="G3" s="3">
        <f>IF(D3,F3/2,F3)</f>
        <v/>
      </c>
      <c r="H3" s="3">
        <f>NOT(E3)</f>
        <v/>
      </c>
      <c r="K3" s="4" t="n">
        <v>2</v>
      </c>
      <c r="L3" s="4" t="inlineStr">
        <is>
          <t>ИЛИ с текстом</t>
        </is>
      </c>
      <c r="M3" s="4" t="inlineStr">
        <is>
          <t>E2:E7 (ответ в E5)</t>
        </is>
      </c>
      <c r="N3" s="4" t="inlineStr">
        <is>
          <t>=ИЛИ(C2="сб";C2="вс") и протянуть вниз</t>
        </is>
      </c>
      <c r="O3" s="4" t="inlineStr">
        <is>
          <t>ИСТИНА</t>
        </is>
      </c>
    </row>
    <row r="4">
      <c r="A4" t="inlineStr">
        <is>
          <t>Тимур</t>
        </is>
      </c>
      <c r="B4" t="n">
        <v>6</v>
      </c>
      <c r="C4" t="inlineStr">
        <is>
          <t>сб</t>
        </is>
      </c>
      <c r="D4" s="3">
        <f>OR(B4&lt;7,B4&gt;65)</f>
        <v/>
      </c>
      <c r="E4" s="3">
        <f>OR(C4="сб",C4="вс")</f>
        <v/>
      </c>
      <c r="F4" s="3">
        <f>IF(E4,2500,1800)</f>
        <v/>
      </c>
      <c r="G4" s="3">
        <f>IF(D4,F4/2,F4)</f>
        <v/>
      </c>
      <c r="H4" s="3">
        <f>NOT(E4)</f>
        <v/>
      </c>
      <c r="K4" s="4" t="n">
        <v>3</v>
      </c>
      <c r="L4" s="4" t="inlineStr">
        <is>
          <t>ЕСЛИ: цена</t>
        </is>
      </c>
      <c r="M4" s="4" t="inlineStr">
        <is>
          <t>F2:F7 (ответ в F4)</t>
        </is>
      </c>
      <c r="N4" s="4" t="inlineStr">
        <is>
          <t>=ЕСЛИ(E2;2500;1800) и протянуть вниз</t>
        </is>
      </c>
      <c r="O4" s="4" t="n">
        <v>2500</v>
      </c>
    </row>
    <row r="5">
      <c r="A5" t="inlineStr">
        <is>
          <t>Дана</t>
        </is>
      </c>
      <c r="B5" t="n">
        <v>25</v>
      </c>
      <c r="C5" t="inlineStr">
        <is>
          <t>вс</t>
        </is>
      </c>
      <c r="D5" s="3">
        <f>OR(B5&lt;7,B5&gt;65)</f>
        <v/>
      </c>
      <c r="E5" s="3">
        <f>OR(C5="сб",C5="вс")</f>
        <v/>
      </c>
      <c r="F5" s="3">
        <f>IF(E5,2500,1800)</f>
        <v/>
      </c>
      <c r="G5" s="3">
        <f>IF(D5,F5/2,F5)</f>
        <v/>
      </c>
      <c r="H5" s="3">
        <f>NOT(E5)</f>
        <v/>
      </c>
      <c r="K5" s="4" t="n">
        <v>4</v>
      </c>
      <c r="L5" s="4" t="inlineStr">
        <is>
          <t>ЕСЛИ: льгота</t>
        </is>
      </c>
      <c r="M5" s="4" t="inlineStr">
        <is>
          <t>G2:G7 (ответ в G4)</t>
        </is>
      </c>
      <c r="N5" s="4" t="inlineStr">
        <is>
          <t>=ЕСЛИ(D2;F2/2;F2) и протянуть вниз</t>
        </is>
      </c>
      <c r="O5" s="4" t="n">
        <v>1250</v>
      </c>
    </row>
    <row r="6">
      <c r="A6" t="inlineStr">
        <is>
          <t>Арман</t>
        </is>
      </c>
      <c r="B6" t="n">
        <v>30</v>
      </c>
      <c r="C6" t="inlineStr">
        <is>
          <t>вт</t>
        </is>
      </c>
      <c r="D6" s="3">
        <f>OR(B6&lt;7,B6&gt;65)</f>
        <v/>
      </c>
      <c r="E6" s="3">
        <f>OR(C6="сб",C6="вс")</f>
        <v/>
      </c>
      <c r="F6" s="3">
        <f>IF(E6,2500,1800)</f>
        <v/>
      </c>
      <c r="G6" s="3">
        <f>IF(D6,F6/2,F6)</f>
        <v/>
      </c>
      <c r="H6" s="3">
        <f>NOT(E6)</f>
        <v/>
      </c>
      <c r="K6" s="4" t="n">
        <v>5</v>
      </c>
      <c r="L6" s="4" t="inlineStr">
        <is>
          <t>НЕ</t>
        </is>
      </c>
      <c r="M6" s="4" t="inlineStr">
        <is>
          <t>H2:H7 (ответ в H6)</t>
        </is>
      </c>
      <c r="N6" s="4" t="inlineStr">
        <is>
          <t>=НЕ(E2) и протянуть вниз</t>
        </is>
      </c>
      <c r="O6" s="4" t="inlineStr">
        <is>
          <t>ИСТИНА</t>
        </is>
      </c>
    </row>
    <row r="7">
      <c r="A7" t="inlineStr">
        <is>
          <t>Мадина</t>
        </is>
      </c>
      <c r="B7" t="n">
        <v>15</v>
      </c>
      <c r="C7" t="inlineStr">
        <is>
          <t>сб</t>
        </is>
      </c>
      <c r="D7" s="3">
        <f>OR(B7&lt;7,B7&gt;65)</f>
        <v/>
      </c>
      <c r="E7" s="3">
        <f>OR(C7="сб",C7="вс")</f>
        <v/>
      </c>
      <c r="F7" s="3">
        <f>IF(E7,2500,1800)</f>
        <v/>
      </c>
      <c r="G7" s="3">
        <f>IF(D7,F7/2,F7)</f>
        <v/>
      </c>
      <c r="H7" s="3">
        <f>NOT(E7)</f>
        <v/>
      </c>
      <c r="K7" s="4" t="n">
        <v>6</v>
      </c>
      <c r="L7" s="4" t="inlineStr">
        <is>
          <t>сложное: выручка</t>
        </is>
      </c>
      <c r="M7" s="4" t="inlineStr">
        <is>
          <t>G8</t>
        </is>
      </c>
      <c r="N7" s="4" t="inlineStr">
        <is>
          <t>=СУММ(G2:G7)</t>
        </is>
      </c>
      <c r="O7" s="4" t="n">
        <v>10750</v>
      </c>
    </row>
    <row r="8">
      <c r="A8" t="inlineStr">
        <is>
          <t>Выручка</t>
        </is>
      </c>
      <c r="G8" s="3">
        <f>SUM(G2:G7)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6" customWidth="1" min="11" max="11"/>
    <col width="24" customWidth="1" min="12" max="12"/>
    <col width="16" customWidth="1" min="13" max="13"/>
    <col width="48" customWidth="1" min="14" max="14"/>
    <col width="12" customWidth="1" min="15" max="15"/>
  </cols>
  <sheetData>
    <row r="1">
      <c r="A1" s="1" t="inlineStr">
        <is>
          <t>Студент</t>
        </is>
      </c>
      <c r="B1" s="1" t="inlineStr">
        <is>
          <t>Средний балл</t>
        </is>
      </c>
      <c r="C1" s="1" t="inlineStr">
        <is>
          <t>Пропуски</t>
        </is>
      </c>
      <c r="D1" s="1" t="inlineStr">
        <is>
          <t>Олимпиада</t>
        </is>
      </c>
      <c r="E1" s="1" t="inlineStr">
        <is>
          <t>Стипендия</t>
        </is>
      </c>
      <c r="F1" s="1" t="inlineStr">
        <is>
          <t>Повышенная</t>
        </is>
      </c>
      <c r="G1" s="1" t="inlineStr">
        <is>
          <t>Похвальный лист</t>
        </is>
      </c>
      <c r="H1" s="1" t="inlineStr">
        <is>
          <t>Беседа</t>
        </is>
      </c>
      <c r="I1" s="1" t="inlineStr">
        <is>
          <t>Сумма, тг</t>
        </is>
      </c>
      <c r="K1" s="2" t="inlineStr">
        <is>
          <t>Шаг</t>
        </is>
      </c>
      <c r="L1" s="2" t="inlineStr">
        <is>
          <t>Тип шага</t>
        </is>
      </c>
      <c r="M1" s="2" t="inlineStr">
        <is>
          <t>Где</t>
        </is>
      </c>
      <c r="N1" s="2" t="inlineStr">
        <is>
          <t>Формула (русский Excel)</t>
        </is>
      </c>
      <c r="O1" s="2" t="inlineStr">
        <is>
          <t>Ответ</t>
        </is>
      </c>
    </row>
    <row r="2">
      <c r="A2" t="inlineStr">
        <is>
          <t>Айдана</t>
        </is>
      </c>
      <c r="B2" t="n">
        <v>4.8</v>
      </c>
      <c r="C2" t="n">
        <v>2</v>
      </c>
      <c r="D2" t="inlineStr">
        <is>
          <t>да</t>
        </is>
      </c>
      <c r="E2" s="3">
        <f>AND(B2&gt;=4.5,C2&lt;=5)</f>
        <v/>
      </c>
      <c r="F2" s="3">
        <f>IF(AND(E2,D2="да"),"да","нет")</f>
        <v/>
      </c>
      <c r="G2" s="3">
        <f>OR(B2=5,D2="да")</f>
        <v/>
      </c>
      <c r="H2" s="3">
        <f>NOT(E2)</f>
        <v/>
      </c>
      <c r="I2" s="3">
        <f>IF(F2="да",60000,IF(E2,40000,0))</f>
        <v/>
      </c>
      <c r="K2" s="4" t="n">
        <v>1</v>
      </c>
      <c r="L2" s="4" t="inlineStr">
        <is>
          <t>И</t>
        </is>
      </c>
      <c r="M2" s="4" t="inlineStr">
        <is>
          <t>E2:E6 (ответ в E5)</t>
        </is>
      </c>
      <c r="N2" s="4" t="inlineStr">
        <is>
          <t>=И(B2&gt;=4,5;C2&lt;=5) и протянуть вниз</t>
        </is>
      </c>
      <c r="O2" s="4" t="inlineStr">
        <is>
          <t>ЛОЖЬ</t>
        </is>
      </c>
    </row>
    <row r="3">
      <c r="A3" t="inlineStr">
        <is>
          <t>Тимур</t>
        </is>
      </c>
      <c r="B3" t="n">
        <v>4.2</v>
      </c>
      <c r="C3" t="n">
        <v>0</v>
      </c>
      <c r="D3" t="inlineStr">
        <is>
          <t>нет</t>
        </is>
      </c>
      <c r="E3" s="3">
        <f>AND(B3&gt;=4.5,C3&lt;=5)</f>
        <v/>
      </c>
      <c r="F3" s="3">
        <f>IF(AND(E3,D3="да"),"да","нет")</f>
        <v/>
      </c>
      <c r="G3" s="3">
        <f>OR(B3=5,D3="да")</f>
        <v/>
      </c>
      <c r="H3" s="3">
        <f>NOT(E3)</f>
        <v/>
      </c>
      <c r="I3" s="3">
        <f>IF(F3="да",60000,IF(E3,40000,0))</f>
        <v/>
      </c>
      <c r="K3" s="4" t="n">
        <v>2</v>
      </c>
      <c r="L3" s="4" t="inlineStr">
        <is>
          <t>ЕСЛИ + И</t>
        </is>
      </c>
      <c r="M3" s="4" t="inlineStr">
        <is>
          <t>F2:F6 (ответ в F2)</t>
        </is>
      </c>
      <c r="N3" s="4" t="inlineStr">
        <is>
          <t>=ЕСЛИ(И(E2;D2="да");"да";"нет") и протянуть вниз</t>
        </is>
      </c>
      <c r="O3" s="4" t="inlineStr">
        <is>
          <t>да</t>
        </is>
      </c>
    </row>
    <row r="4">
      <c r="A4" t="inlineStr">
        <is>
          <t>Дана</t>
        </is>
      </c>
      <c r="B4" t="n">
        <v>3.9</v>
      </c>
      <c r="C4" t="n">
        <v>5</v>
      </c>
      <c r="D4" t="inlineStr">
        <is>
          <t>да</t>
        </is>
      </c>
      <c r="E4" s="3">
        <f>AND(B4&gt;=4.5,C4&lt;=5)</f>
        <v/>
      </c>
      <c r="F4" s="3">
        <f>IF(AND(E4,D4="да"),"да","нет")</f>
        <v/>
      </c>
      <c r="G4" s="3">
        <f>OR(B4=5,D4="да")</f>
        <v/>
      </c>
      <c r="H4" s="3">
        <f>NOT(E4)</f>
        <v/>
      </c>
      <c r="I4" s="3">
        <f>IF(F4="да",60000,IF(E4,40000,0))</f>
        <v/>
      </c>
      <c r="K4" s="4" t="n">
        <v>3</v>
      </c>
      <c r="L4" s="4" t="inlineStr">
        <is>
          <t>ИЛИ</t>
        </is>
      </c>
      <c r="M4" s="4" t="inlineStr">
        <is>
          <t>G2:G6 (ответ в G4)</t>
        </is>
      </c>
      <c r="N4" s="4" t="inlineStr">
        <is>
          <t>=ИЛИ(B2=5;D2="да") и протянуть вниз</t>
        </is>
      </c>
      <c r="O4" s="4" t="inlineStr">
        <is>
          <t>ИСТИНА</t>
        </is>
      </c>
    </row>
    <row r="5">
      <c r="A5" t="inlineStr">
        <is>
          <t>Арман</t>
        </is>
      </c>
      <c r="B5" t="n">
        <v>4.6</v>
      </c>
      <c r="C5" t="n">
        <v>12</v>
      </c>
      <c r="D5" t="inlineStr">
        <is>
          <t>нет</t>
        </is>
      </c>
      <c r="E5" s="3">
        <f>AND(B5&gt;=4.5,C5&lt;=5)</f>
        <v/>
      </c>
      <c r="F5" s="3">
        <f>IF(AND(E5,D5="да"),"да","нет")</f>
        <v/>
      </c>
      <c r="G5" s="3">
        <f>OR(B5=5,D5="да")</f>
        <v/>
      </c>
      <c r="H5" s="3">
        <f>NOT(E5)</f>
        <v/>
      </c>
      <c r="I5" s="3">
        <f>IF(F5="да",60000,IF(E5,40000,0))</f>
        <v/>
      </c>
      <c r="K5" s="4" t="n">
        <v>4</v>
      </c>
      <c r="L5" s="4" t="inlineStr">
        <is>
          <t>НЕ</t>
        </is>
      </c>
      <c r="M5" s="4" t="inlineStr">
        <is>
          <t>H2:H6 (ответ в H3)</t>
        </is>
      </c>
      <c r="N5" s="4" t="inlineStr">
        <is>
          <t>=НЕ(E2) и протянуть вниз</t>
        </is>
      </c>
      <c r="O5" s="4" t="inlineStr">
        <is>
          <t>ИСТИНА</t>
        </is>
      </c>
    </row>
    <row r="6">
      <c r="A6" t="inlineStr">
        <is>
          <t>Мадина</t>
        </is>
      </c>
      <c r="B6" t="n">
        <v>5</v>
      </c>
      <c r="C6" t="n">
        <v>1</v>
      </c>
      <c r="D6" t="inlineStr">
        <is>
          <t>нет</t>
        </is>
      </c>
      <c r="E6" s="3">
        <f>AND(B6&gt;=4.5,C6&lt;=5)</f>
        <v/>
      </c>
      <c r="F6" s="3">
        <f>IF(AND(E6,D6="да"),"да","нет")</f>
        <v/>
      </c>
      <c r="G6" s="3">
        <f>OR(B6=5,D6="да")</f>
        <v/>
      </c>
      <c r="H6" s="3">
        <f>NOT(E6)</f>
        <v/>
      </c>
      <c r="I6" s="3">
        <f>IF(F6="да",60000,IF(E6,40000,0))</f>
        <v/>
      </c>
      <c r="K6" s="4" t="n">
        <v>5</v>
      </c>
      <c r="L6" s="4" t="inlineStr">
        <is>
          <t>ЕСЛИ в ЕСЛИ</t>
        </is>
      </c>
      <c r="M6" s="4" t="inlineStr">
        <is>
          <t>I2:I6 (ответ в I6)</t>
        </is>
      </c>
      <c r="N6" s="4" t="inlineStr">
        <is>
          <t>=ЕСЛИ(F2="да";60000;ЕСЛИ(E2;40000;0)) и протянуть вниз</t>
        </is>
      </c>
      <c r="O6" s="4" t="n">
        <v>40000</v>
      </c>
    </row>
    <row r="7">
      <c r="K7" s="4" t="n">
        <v>6</v>
      </c>
      <c r="L7" s="4" t="inlineStr">
        <is>
          <t>сложное: всего</t>
        </is>
      </c>
      <c r="M7" s="4" t="inlineStr">
        <is>
          <t>I8</t>
        </is>
      </c>
      <c r="N7" s="4" t="inlineStr">
        <is>
          <t>=СУММ(I2:I6)</t>
        </is>
      </c>
      <c r="O7" s="4" t="n">
        <v>100000</v>
      </c>
    </row>
    <row r="8">
      <c r="A8" t="inlineStr">
        <is>
          <t>Всего</t>
        </is>
      </c>
      <c r="I8" s="3">
        <f>SUM(I2:I6)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2026-10-24T17:31:31Z</dcterms:created>
  <dcterms:modified xmlns:dcterms="http://purl.org/dc/terms/" xmlns:xsi="http://www.w3.org/2001/XMLSchema-instance" xsi:type="dcterms:W3CDTF">2026-10-24T17:31:31Z</dcterms:modified>
</cp:coreProperties>
</file>