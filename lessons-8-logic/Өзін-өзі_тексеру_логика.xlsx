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сы" sheetId="1" state="visible" r:id="rId1"/>
    <sheet xmlns:r="http://schemas.openxmlformats.org/officeDocument/2006/relationships" name="S1" sheetId="2" state="visible" r:id="rId2"/>
    <sheet xmlns:r="http://schemas.openxmlformats.org/officeDocument/2006/relationships" name="S2" sheetId="3" state="visible" r:id="rId3"/>
    <sheet xmlns:r="http://schemas.openxmlformats.org/officeDocument/2006/relationships" name="S3" sheetId="4" state="visible" r:id="rId4"/>
    <sheet xmlns:r="http://schemas.openxmlformats.org/officeDocument/2006/relationships" name="S4" sheetId="5" state="visible" r:id="rId5"/>
    <sheet xmlns:r="http://schemas.openxmlformats.org/officeDocument/2006/relationships" name="S5" sheetId="6" state="visible" r:id="rId6"/>
    <sheet xmlns:r="http://schemas.openxmlformats.org/officeDocument/2006/relationships" name="Қорытынд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D7652"/>
      </patternFill>
    </fill>
  </fills>
  <borders count="2">
    <border>
      <left/>
      <right/>
      <top/>
      <bottom/>
      <diagonal/>
    </border>
    <border>
      <bottom style="thin">
        <color rgb="00C9D3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5" fillId="3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applyProtection="1" pivotButton="0" quotePrefix="0" xfId="0">
      <alignment vertical="top" wrapText="1"/>
      <protection locked="1" hidden="1"/>
    </xf>
    <xf numFmtId="0" fontId="4" fillId="0" borderId="0" pivotButton="0" quotePrefix="0" xfId="0"/>
    <xf numFmtId="0" fontId="6" fillId="0" borderId="0" applyProtection="1" pivotButton="0" quotePrefix="0" xfId="0">
      <protection locked="1" hidden="1"/>
    </xf>
  </cellXfs>
  <cellStyles count="1">
    <cellStyle name="Normal" xfId="0" builtinId="0" hidden="0"/>
  </cellStyles>
  <dxfs count="2">
    <dxf>
      <fill>
        <patternFill patternType="solid">
          <fgColor rgb="00D9F2E3"/>
        </patternFill>
      </fill>
    </dxf>
    <dxf>
      <fill>
        <patternFill patternType="solid">
          <fgColor rgb="00FBE1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Өзін-өзі тексеру: Excel-дегі логикалық функциялар</t>
        </is>
      </c>
    </row>
    <row r="2">
      <c r="A2" s="2" t="inlineStr"/>
    </row>
    <row r="3">
      <c r="A3" s="3" t="inlineStr">
        <is>
          <t>Сынып:</t>
        </is>
      </c>
      <c r="B3" s="4" t="n"/>
    </row>
    <row r="4">
      <c r="A4" s="3" t="inlineStr">
        <is>
          <t>Тегі мен аты:</t>
        </is>
      </c>
      <c r="B4" s="4" t="n"/>
    </row>
    <row r="5">
      <c r="A5" s="2" t="inlineStr"/>
    </row>
    <row r="6">
      <c r="A6" s="3" t="inlineStr">
        <is>
          <t>Қалай жұмыс істеу керек</t>
        </is>
      </c>
    </row>
    <row r="7">
      <c r="A7" s="2" t="inlineStr">
        <is>
          <t>1. Сценарий парағын аш (S1–S5). Деректері бар кесте дайын.</t>
        </is>
      </c>
    </row>
    <row r="8">
      <c r="A8" s="2" t="inlineStr">
        <is>
          <t>2. Оң жақта — қадамдар. Формуланы қадамда көрсетілген сары ұяшыққа жаз.</t>
        </is>
      </c>
    </row>
    <row r="9">
      <c r="A9" s="2" t="inlineStr">
        <is>
          <t>3. «Төмен созып көшір» — формуланы ұяшықтың оң жақ төменгі бұрышындағы кішкентай шаршыдан тарт.</t>
        </is>
      </c>
    </row>
    <row r="10">
      <c r="A10" s="2" t="inlineStr">
        <is>
          <t>4. «Тексеру» бағанында Excel бірден көрсетеді: ✓ дұрыс — немесе нені түзету керек.</t>
        </is>
      </c>
    </row>
    <row r="11">
      <c r="A11" s="2" t="inlineStr">
        <is>
          <t>5. «Өзгерт…» қадамдары — кестедегі деректерді өзгерт, формулаларға тиме.</t>
        </is>
      </c>
    </row>
    <row r="12">
      <c r="A12" s="2" t="inlineStr">
        <is>
          <t>6. Жалпы есеп — «Қорытынды» парағында.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Оқушы</t>
        </is>
      </c>
      <c r="B1" s="5" t="inlineStr">
        <is>
          <t>Балл</t>
        </is>
      </c>
      <c r="C1" s="5" t="inlineStr">
        <is>
          <t>Қорытынды</t>
        </is>
      </c>
      <c r="D1" s="5" t="inlineStr">
        <is>
          <t>50 және одан көп пе?</t>
        </is>
      </c>
      <c r="E1" s="5" t="inlineStr">
        <is>
          <t>Бонус</t>
        </is>
      </c>
      <c r="F1" s="5" t="inlineStr">
        <is>
          <t>Есептелді = 1</t>
        </is>
      </c>
      <c r="G1" s="6" t="n"/>
      <c r="H1" s="6" t="n"/>
      <c r="I1" s="6" t="n"/>
      <c r="K1" s="7" t="inlineStr">
        <is>
          <t>№</t>
        </is>
      </c>
      <c r="L1" s="7" t="inlineStr">
        <is>
          <t>Қадам түрі</t>
        </is>
      </c>
      <c r="M1" s="7" t="inlineStr">
        <is>
          <t>Тапсырма</t>
        </is>
      </c>
      <c r="N1" s="7" t="inlineStr">
        <is>
          <t>Ұяшық</t>
        </is>
      </c>
      <c r="O1" s="7" t="inlineStr">
        <is>
          <t>Тексеру</t>
        </is>
      </c>
    </row>
    <row r="2">
      <c r="A2" s="6" t="inlineStr">
        <is>
          <t>Айдана</t>
        </is>
      </c>
      <c r="B2" s="6" t="n">
        <v>72</v>
      </c>
      <c r="C2" s="4" t="n"/>
      <c r="D2" s="4" t="n"/>
      <c r="E2" s="4" t="n"/>
      <c r="F2" s="4" t="n"/>
      <c r="G2" s="6" t="n"/>
      <c r="H2" s="6" t="n"/>
      <c r="I2" s="6" t="n"/>
      <c r="K2" s="8" t="n">
        <v>1</v>
      </c>
      <c r="L2" s="8" t="inlineStr">
        <is>
          <t>салыстыру</t>
        </is>
      </c>
      <c r="M2" s="8" t="inlineStr">
        <is>
          <t>D2-ге салыстыру жаз: Айданың балы 50 немесе одан көп пе? Excel ИСТИНА немесе ЛОЖЬ көрсетеді.</t>
        </is>
      </c>
      <c r="N2" s="8" t="inlineStr">
        <is>
          <t>D2</t>
        </is>
      </c>
      <c r="O2" s="9">
        <f>IF(ISBLANK(D2),"—",IF(OR(NOT(_xlfn.ISFORMULA(D2))),"✗ дайын жауап емес, формула керек",IF(NOT(AND(IFERROR(SUBSTITUTE(LOWER(D2&amp;""),"ё","е")=SUBSTITUTE(LOWER((B2&gt;=50)&amp;""),"ё","е"),FALSE))),"✗ жауап дұрыс емес — формула мен ауқымды тексер","✓ дұрыс")))</f>
        <v/>
      </c>
    </row>
    <row r="3">
      <c r="A3" s="6" t="inlineStr">
        <is>
          <t>Тимур</t>
        </is>
      </c>
      <c r="B3" s="6" t="n">
        <v>45</v>
      </c>
      <c r="C3" s="4" t="n"/>
      <c r="D3" s="6" t="n"/>
      <c r="E3" s="4" t="n"/>
      <c r="F3" s="4" t="n"/>
      <c r="G3" s="6" t="n"/>
      <c r="H3" s="6" t="n"/>
      <c r="I3" s="6" t="n"/>
      <c r="K3" s="8" t="n">
        <v>2</v>
      </c>
      <c r="L3" s="8" t="inlineStr">
        <is>
          <t>Мәтінмен ЕСЛИ</t>
        </is>
      </c>
      <c r="M3" s="8" t="inlineStr">
        <is>
          <t>C2-ге: балл 50 немесе одан көп болса — «есептелді», әйтпесе «есептелмеді».</t>
        </is>
      </c>
      <c r="N3" s="8" t="inlineStr">
        <is>
          <t>C2</t>
        </is>
      </c>
      <c r="O3" s="9">
        <f>IF(ISBLANK(C2),"—",IF(OR(NOT(_xlfn.ISFORMULA(C2))),"✗ дайын жауап емес, формула керек",IF(NOT(OR(ISNUMBER(SEARCH("ЕСЛИ(",IFERROR(_xlfn.FORMULATEXT(C2),""))),ISNUMBER(SEARCH("IF(",IFERROR(_xlfn.FORMULATEXT(C2),""))))),"✗ ЕСЛИ функциясы керек",IF(NOT(AND(IFERROR(SUBSTITUTE(LOWER(C2&amp;""),"ё","е")=SUBSTITUTE(LOWER((IF(B2&gt;=50,"есептелді","есептелмеді"))&amp;""),"ё","е"),FALSE))),"✗ жауап дұрыс емес — формула мен ауқымды тексер","✓ дұрыс"))))</f>
        <v/>
      </c>
    </row>
    <row r="4">
      <c r="A4" s="6" t="inlineStr">
        <is>
          <t>Дана</t>
        </is>
      </c>
      <c r="B4" s="6" t="n">
        <v>50</v>
      </c>
      <c r="C4" s="4" t="n"/>
      <c r="D4" s="6" t="n"/>
      <c r="E4" s="4" t="n"/>
      <c r="F4" s="4" t="n"/>
      <c r="G4" s="6" t="n"/>
      <c r="H4" s="6" t="n"/>
      <c r="I4" s="6" t="n"/>
      <c r="K4" s="8" t="n">
        <v>3</v>
      </c>
      <c r="L4" s="8" t="inlineStr">
        <is>
          <t>төмен созып көшіру</t>
        </is>
      </c>
      <c r="M4" s="8" t="inlineStr">
        <is>
          <t>C2-дегі формуланы C7-ге дейін төмен созып көшір: ұяшықтың оң жақ төменгі бұрышындағы кішкентай шаршыдан тарт. Данада не шықты (C4)?</t>
        </is>
      </c>
      <c r="N4" s="8" t="inlineStr">
        <is>
          <t>C2 → C7 ұяшығына дейін созып көшір; жауап C4 ұяшығында</t>
        </is>
      </c>
      <c r="O4" s="9">
        <f>IF(ISBLANK(C2),"—",IF(OR(NOT(_xlfn.ISFORMULA(C2)),NOT(_xlfn.ISFORMULA(C3)),NOT(_xlfn.ISFORMULA(C4)),NOT(_xlfn.ISFORMULA(C5)),NOT(_xlfn.ISFORMULA(C6)),NOT(_xlfn.ISFORMULA(C7))),"✗ дайын жауап емес, формула керек (формуланы төмен созып көшір)",IF(NOT(OR(ISNUMBER(SEARCH("ЕСЛИ(",IFERROR(_xlfn.FORMULATEXT(C2),""))),ISNUMBER(SEARCH("IF(",IFERROR(_xlfn.FORMULATEXT(C2),""))))),"✗ ЕСЛИ функциясы керек",IF(NOT(AND(IFERROR(SUBSTITUTE(LOWER(C2&amp;""),"ё","е")=SUBSTITUTE(LOWER((IF(B2&gt;=50,"есептелді","есептелмеді"))&amp;""),"ё","е"),FALSE),IFERROR(SUBSTITUTE(LOWER(C3&amp;""),"ё","е")=SUBSTITUTE(LOWER((IF(B3&gt;=50,"есептелді","есептелмеді"))&amp;""),"ё","е"),FALSE),IFERROR(SUBSTITUTE(LOWER(C4&amp;""),"ё","е")=SUBSTITUTE(LOWER((IF(B4&gt;=50,"есептелді","есептелмеді"))&amp;""),"ё","е"),FALSE),IFERROR(SUBSTITUTE(LOWER(C5&amp;""),"ё","е")=SUBSTITUTE(LOWER((IF(B5&gt;=50,"есептелді","есептелмеді"))&amp;""),"ё","е"),FALSE),IFERROR(SUBSTITUTE(LOWER(C6&amp;""),"ё","е")=SUBSTITUTE(LOWER((IF(B6&gt;=50,"есептелді","есептелмеді"))&amp;""),"ё","е"),FALSE),IFERROR(SUBSTITUTE(LOWER(C7&amp;""),"ё","е")=SUBSTITUTE(LOWER((IF(B7&gt;=50,"есептелді","есептелмеді"))&amp;""),"ё","е"),FALSE))),"✗ жауап дұрыс емес — формула мен ауқымды тексер","✓ дұрыс"))))</f>
        <v/>
      </c>
    </row>
    <row r="5">
      <c r="A5" s="6" t="inlineStr">
        <is>
          <t>Арман</t>
        </is>
      </c>
      <c r="B5" s="6" t="n">
        <v>38</v>
      </c>
      <c r="C5" s="4" t="n"/>
      <c r="D5" s="6" t="n"/>
      <c r="E5" s="4" t="n"/>
      <c r="F5" s="4" t="n"/>
      <c r="G5" s="6" t="n"/>
      <c r="H5" s="6" t="n"/>
      <c r="I5" s="6" t="n"/>
      <c r="K5" s="8" t="n">
        <v>4</v>
      </c>
      <c r="L5" s="8" t="inlineStr">
        <is>
          <t>Сандармен ЕСЛИ</t>
        </is>
      </c>
      <c r="M5" s="8" t="inlineStr">
        <is>
          <t>Бонус: балл 85 немесе одан көп болса — 5 балл, әйтпесе 0. E2-ге жазып, E7-ге дейін созып көшір. Мадинаның бонусы қандай (E6)?</t>
        </is>
      </c>
      <c r="N5" s="8" t="inlineStr">
        <is>
          <t>E2 → E7 ұяшығына дейін созып көшір; жауап E6 ұяшығында</t>
        </is>
      </c>
      <c r="O5" s="9">
        <f>IF(ISBLANK(E2),"—",IF(OR(NOT(_xlfn.ISFORMULA(E2)),NOT(_xlfn.ISFORMULA(E3)),NOT(_xlfn.ISFORMULA(E4)),NOT(_xlfn.ISFORMULA(E5)),NOT(_xlfn.ISFORMULA(E6)),NOT(_xlfn.ISFORMULA(E7))),"✗ дайын жауап емес, формула керек (формуланы төмен созып көшір)",IF(NOT(OR(ISNUMBER(SEARCH("ЕСЛИ(",IFERROR(_xlfn.FORMULATEXT(E2),""))),ISNUMBER(SEARCH("IF(",IFERROR(_xlfn.FORMULATEXT(E2),""))))),"✗ ЕСЛИ функциясы керек",IF(NOT(AND(IFERROR(ABS(E2-(IF(B2&gt;=85,5,0)))&lt;=0.01*MAX(1,ABS(IF(B2&gt;=85,5,0))),FALSE),IFERROR(ABS(E3-(IF(B3&gt;=85,5,0)))&lt;=0.01*MAX(1,ABS(IF(B3&gt;=85,5,0))),FALSE),IFERROR(ABS(E4-(IF(B4&gt;=85,5,0)))&lt;=0.01*MAX(1,ABS(IF(B4&gt;=85,5,0))),FALSE),IFERROR(ABS(E5-(IF(B5&gt;=85,5,0)))&lt;=0.01*MAX(1,ABS(IF(B5&gt;=85,5,0))),FALSE),IFERROR(ABS(E6-(IF(B6&gt;=85,5,0)))&lt;=0.01*MAX(1,ABS(IF(B6&gt;=85,5,0))),FALSE),IFERROR(ABS(E7-(IF(B7&gt;=85,5,0)))&lt;=0.01*MAX(1,ABS(IF(B7&gt;=85,5,0))),FALSE))),"✗ жауап дұрыс емес — формула мен ауқымды тексер","✓ дұрыс"))))</f>
        <v/>
      </c>
    </row>
    <row r="6">
      <c r="A6" s="6" t="inlineStr">
        <is>
          <t>Мадина</t>
        </is>
      </c>
      <c r="B6" s="6" t="n">
        <v>91</v>
      </c>
      <c r="C6" s="4" t="n"/>
      <c r="D6" s="6" t="n"/>
      <c r="E6" s="4" t="n"/>
      <c r="F6" s="4" t="n"/>
      <c r="G6" s="6" t="n"/>
      <c r="H6" s="6" t="n"/>
      <c r="I6" s="6" t="n"/>
      <c r="K6" s="8" t="n">
        <v>5</v>
      </c>
      <c r="L6" s="8" t="inlineStr">
        <is>
          <t>мәтіні бар шарт</t>
        </is>
      </c>
      <c r="M6" s="8" t="inlineStr">
        <is>
          <t>C2-де «есептелді» деп жазылса, F2-ге 1 қой, әйтпесе 0. F7-ге дейін созып көшір. Тимурда не (F3)?</t>
        </is>
      </c>
      <c r="N6" s="8" t="inlineStr">
        <is>
          <t>F2 → F7 ұяшығына дейін созып көшір; жауап F3 ұяшығында</t>
        </is>
      </c>
      <c r="O6" s="9">
        <f>IF(ISBLANK(F2),"—",IF(OR(NOT(_xlfn.ISFORMULA(F2)),NOT(_xlfn.ISFORMULA(F3)),NOT(_xlfn.ISFORMULA(F4)),NOT(_xlfn.ISFORMULA(F5)),NOT(_xlfn.ISFORMULA(F6)),NOT(_xlfn.ISFORMULA(F7))),"✗ дайын жауап емес, формула керек (формуланы төмен созып көшір)",IF(NOT(OR(ISNUMBER(SEARCH("ЕСЛИ(",IFERROR(_xlfn.FORMULATEXT(F2),""))),ISNUMBER(SEARCH("IF(",IFERROR(_xlfn.FORMULATEXT(F2),""))))),"✗ ЕСЛИ функциясы керек",IF(NOT(AND(IFERROR(ABS(F2-(IF(C2="есептелді",1,0)))&lt;=0.01*MAX(1,ABS(IF(C2="есептелді",1,0))),FALSE),IFERROR(ABS(F3-(IF(C3="есептелді",1,0)))&lt;=0.01*MAX(1,ABS(IF(C3="есептелді",1,0))),FALSE),IFERROR(ABS(F4-(IF(C4="есептелді",1,0)))&lt;=0.01*MAX(1,ABS(IF(C4="есептелді",1,0))),FALSE),IFERROR(ABS(F5-(IF(C5="есептелді",1,0)))&lt;=0.01*MAX(1,ABS(IF(C5="есептелді",1,0))),FALSE),IFERROR(ABS(F6-(IF(C6="есептелді",1,0)))&lt;=0.01*MAX(1,ABS(IF(C6="есептелді",1,0))),FALSE),IFERROR(ABS(F7-(IF(C7="есептелді",1,0)))&lt;=0.01*MAX(1,ABS(IF(C7="есептелді",1,0))),FALSE))),"✗ жауап дұрыс емес — формула мен ауқымды тексер","✓ дұрыс"))))</f>
        <v/>
      </c>
    </row>
    <row r="7">
      <c r="A7" s="6" t="inlineStr">
        <is>
          <t>Ерлан</t>
        </is>
      </c>
      <c r="B7" s="6" t="n">
        <v>64</v>
      </c>
      <c r="C7" s="4" t="n"/>
      <c r="D7" s="6" t="n"/>
      <c r="E7" s="4" t="n"/>
      <c r="F7" s="4" t="n"/>
      <c r="G7" s="6" t="n"/>
      <c r="H7" s="6" t="n"/>
      <c r="I7" s="6" t="n"/>
      <c r="K7" s="8" t="n">
        <v>6</v>
      </c>
      <c r="L7" s="8" t="inlineStr">
        <is>
          <t>күрделі: шекара</t>
        </is>
      </c>
      <c r="M7" s="8" t="inlineStr">
        <is>
          <t>Тимур жұмысын түзетті: оның B3-тегі балын 50-ге өзгерт, формулаларға тиме. Енді C3-те не тұр? Егер &gt;= орнына &gt; таңбасы тұрса, жауап осындай болар ма еді?</t>
        </is>
      </c>
      <c r="N7" s="8" t="inlineStr">
        <is>
          <t>B3 мәнін 50 деп өзгерт; жауап C3 ұяшығында</t>
        </is>
      </c>
      <c r="O7" s="9">
        <f>IF(ISBLANK(C3),"—",IF(NOT(AND(B3=50)),"✗ алдымен B3 мәнін 50 деп өзгерт",IF(OR(NOT(_xlfn.ISFORMULA(C3))),"✗ дайын жауап емес, формула керек",IF(NOT(AND(IFERROR(SUBSTITUTE(LOWER(C3&amp;""),"ё","е")=SUBSTITUTE(LOWER((IF(B3&gt;=50,"есептелді","есептелмеді"))&amp;""),"ё","е"),FALSE))),"✗ жауап дұрыс емес — формула мен ауқымды тексер","✓ дұрыс"))))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Орындалған қадамдар:</t>
        </is>
      </c>
      <c r="O9" s="11">
        <f>COUNTIF(O2:O7,"✓*")&amp;" /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Тапсырыс</t>
        </is>
      </c>
      <c r="B1" s="5" t="inlineStr">
        <is>
          <t>Сомасы, тг</t>
        </is>
      </c>
      <c r="C1" s="5" t="inlineStr">
        <is>
          <t>Жеткізу, тг</t>
        </is>
      </c>
      <c r="D1" s="5" t="inlineStr">
        <is>
          <t>Жеңілдік, тг</t>
        </is>
      </c>
      <c r="E1" s="5" t="inlineStr">
        <is>
          <t>Төлеуге, тг</t>
        </is>
      </c>
      <c r="F1" s="5" t="inlineStr">
        <is>
          <t>Тапсырыс түрі</t>
        </is>
      </c>
      <c r="G1" s="6" t="n"/>
      <c r="H1" s="6" t="n"/>
      <c r="I1" s="6" t="n"/>
      <c r="K1" s="7" t="inlineStr">
        <is>
          <t>№</t>
        </is>
      </c>
      <c r="L1" s="7" t="inlineStr">
        <is>
          <t>Қадам түрі</t>
        </is>
      </c>
      <c r="M1" s="7" t="inlineStr">
        <is>
          <t>Тапсырма</t>
        </is>
      </c>
      <c r="N1" s="7" t="inlineStr">
        <is>
          <t>Ұяшық</t>
        </is>
      </c>
      <c r="O1" s="7" t="inlineStr">
        <is>
          <t>Тексеру</t>
        </is>
      </c>
    </row>
    <row r="2">
      <c r="A2" s="6" t="inlineStr">
        <is>
          <t>№1</t>
        </is>
      </c>
      <c r="B2" s="6" t="n">
        <v>3500</v>
      </c>
      <c r="C2" s="4" t="n"/>
      <c r="D2" s="4" t="n"/>
      <c r="E2" s="4" t="n"/>
      <c r="F2" s="4" t="n"/>
      <c r="G2" s="6" t="n"/>
      <c r="H2" s="6" t="n"/>
      <c r="I2" s="6" t="n"/>
      <c r="K2" s="8" t="n">
        <v>1</v>
      </c>
      <c r="L2" s="8" t="inlineStr">
        <is>
          <t>тармақтағы сан</t>
        </is>
      </c>
      <c r="M2" s="8" t="inlineStr">
        <is>
          <t>Жеткізу: сома 5000 тг немесе одан көп болса — 0, әйтпесе 700. C2-ге жазып, C6-ға дейін созып көшір. №2 тапсырыстың жеткізу ақысы қанша (C3)?</t>
        </is>
      </c>
      <c r="N2" s="8" t="inlineStr">
        <is>
          <t>C2 → C6 ұяшығына дейін созып көшір; жауап C3 ұяшығында</t>
        </is>
      </c>
      <c r="O2" s="9">
        <f>IF(ISBLANK(C2),"—",IF(OR(NOT(_xlfn.ISFORMULA(C2)),NOT(_xlfn.ISFORMULA(C3)),NOT(_xlfn.ISFORMULA(C4)),NOT(_xlfn.ISFORMULA(C5)),NOT(_xlfn.ISFORMULA(C6))),"✗ дайын жауап емес, формула керек (формуланы төмен созып көшір)",IF(NOT(OR(ISNUMBER(SEARCH("ЕСЛИ(",IFERROR(_xlfn.FORMULATEXT(C2),""))),ISNUMBER(SEARCH("IF(",IFERROR(_xlfn.FORMULATEXT(C2),""))))),"✗ ЕСЛИ функциясы керек",IF(NOT(AND(IFERROR(ABS(C2-(IF(B2&gt;=5000,0,700)))&lt;=0.01*MAX(1,ABS(IF(B2&gt;=5000,0,700))),FALSE),IFERROR(ABS(C3-(IF(B3&gt;=5000,0,700)))&lt;=0.01*MAX(1,ABS(IF(B3&gt;=5000,0,700))),FALSE),IFERROR(ABS(C4-(IF(B4&gt;=5000,0,700)))&lt;=0.01*MAX(1,ABS(IF(B4&gt;=5000,0,700))),FALSE),IFERROR(ABS(C5-(IF(B5&gt;=5000,0,700)))&lt;=0.01*MAX(1,ABS(IF(B5&gt;=5000,0,700))),FALSE),IFERROR(ABS(C6-(IF(B6&gt;=5000,0,700)))&lt;=0.01*MAX(1,ABS(IF(B6&gt;=5000,0,700))),FALSE))),"✗ жауап дұрыс емес — формула мен ауқымды тексер","✓ дұрыс"))))</f>
        <v/>
      </c>
    </row>
    <row r="3">
      <c r="A3" s="6" t="inlineStr">
        <is>
          <t>№2</t>
        </is>
      </c>
      <c r="B3" s="6" t="n">
        <v>5000</v>
      </c>
      <c r="C3" s="4" t="n"/>
      <c r="D3" s="4" t="n"/>
      <c r="E3" s="4" t="n"/>
      <c r="F3" s="4" t="n"/>
      <c r="G3" s="6" t="n"/>
      <c r="H3" s="6" t="n"/>
      <c r="I3" s="6" t="n"/>
      <c r="K3" s="8" t="n">
        <v>2</v>
      </c>
      <c r="L3" s="8" t="inlineStr">
        <is>
          <t>тармақта есептеу</t>
        </is>
      </c>
      <c r="M3" s="8" t="inlineStr">
        <is>
          <t>Жеңілдік: сома 10 000 тг-ден көп болса — соманың 10%-ы, әйтпесе 0. D2-ге жазып, созып көшір. №3 тапсырыстың жеңілдігі қандай (D4)?</t>
        </is>
      </c>
      <c r="N3" s="8" t="inlineStr">
        <is>
          <t>D2 → D6 ұяшығына дейін созып көшір; жауап D4 ұяшығында</t>
        </is>
      </c>
      <c r="O3" s="9">
        <f>IF(ISBLANK(D2),"—",IF(OR(NOT(_xlfn.ISFORMULA(D2)),NOT(_xlfn.ISFORMULA(D3)),NOT(_xlfn.ISFORMULA(D4)),NOT(_xlfn.ISFORMULA(D5)),NOT(_xlfn.ISFORMULA(D6))),"✗ дайын жауап емес, формула керек (формуланы төмен созып көшір)",IF(NOT(OR(ISNUMBER(SEARCH("ЕСЛИ(",IFERROR(_xlfn.FORMULATEXT(D2),""))),ISNUMBER(SEARCH("IF(",IFERROR(_xlfn.FORMULATEXT(D2),""))))),"✗ ЕСЛИ функциясы керек",IF(NOT(AND(IFERROR(ABS(D2-(IF(B2&gt;10000,B2*0.1,0)))&lt;=0.01*MAX(1,ABS(IF(B2&gt;10000,B2*0.1,0))),FALSE),IFERROR(ABS(D3-(IF(B3&gt;10000,B3*0.1,0)))&lt;=0.01*MAX(1,ABS(IF(B3&gt;10000,B3*0.1,0))),FALSE),IFERROR(ABS(D4-(IF(B4&gt;10000,B4*0.1,0)))&lt;=0.01*MAX(1,ABS(IF(B4&gt;10000,B4*0.1,0))),FALSE),IFERROR(ABS(D5-(IF(B5&gt;10000,B5*0.1,0)))&lt;=0.01*MAX(1,ABS(IF(B5&gt;10000,B5*0.1,0))),FALSE),IFERROR(ABS(D6-(IF(B6&gt;10000,B6*0.1,0)))&lt;=0.01*MAX(1,ABS(IF(B6&gt;10000,B6*0.1,0))),FALSE))),"✗ жауап дұрыс емес — формула мен ауқымды тексер","✓ дұрыс"))))</f>
        <v/>
      </c>
    </row>
    <row r="4">
      <c r="A4" s="6" t="inlineStr">
        <is>
          <t>№3</t>
        </is>
      </c>
      <c r="B4" s="6" t="n">
        <v>12000</v>
      </c>
      <c r="C4" s="4" t="n"/>
      <c r="D4" s="4" t="n"/>
      <c r="E4" s="4" t="n"/>
      <c r="F4" s="4" t="n"/>
      <c r="G4" s="6" t="n"/>
      <c r="H4" s="6" t="n"/>
      <c r="I4" s="6" t="n"/>
      <c r="K4" s="8" t="n">
        <v>3</v>
      </c>
      <c r="L4" s="8" t="inlineStr">
        <is>
          <t>жол бойынша қорытынды</t>
        </is>
      </c>
      <c r="M4" s="8" t="inlineStr">
        <is>
          <t>Төлеуге = сома + жеткізу − жеңілдік. E2-ге жазып, созып көшір. №4 тапсырыс қанша төлейді (E5)?</t>
        </is>
      </c>
      <c r="N4" s="8" t="inlineStr">
        <is>
          <t>E2 → E6 ұяшығына дейін созып көшір; жауап E5 ұяшығында</t>
        </is>
      </c>
      <c r="O4" s="9">
        <f>IF(ISBLANK(E2),"—",IF(OR(NOT(_xlfn.ISFORMULA(E2)),NOT(_xlfn.ISFORMULA(E3)),NOT(_xlfn.ISFORMULA(E4)),NOT(_xlfn.ISFORMULA(E5)),NOT(_xlfn.ISFORMULA(E6))),"✗ дайын жауап емес, формула керек (формуланы төмен созып көшір)",IF(NOT(AND(IFERROR(ABS(E2-(B2+C2-D2))&lt;=0.01*MAX(1,ABS(B2+C2-D2)),FALSE),IFERROR(ABS(E3-(B3+C3-D3))&lt;=0.01*MAX(1,ABS(B3+C3-D3)),FALSE),IFERROR(ABS(E4-(B4+C4-D4))&lt;=0.01*MAX(1,ABS(B4+C4-D4)),FALSE),IFERROR(ABS(E5-(B5+C5-D5))&lt;=0.01*MAX(1,ABS(B5+C5-D5)),FALSE),IFERROR(ABS(E6-(B6+C6-D6))&lt;=0.01*MAX(1,ABS(B6+C6-D6)),FALSE))),"✗ жауап дұрыс емес — формула мен ауқымды тексер","✓ дұрыс")))</f>
        <v/>
      </c>
    </row>
    <row r="5">
      <c r="A5" s="6" t="inlineStr">
        <is>
          <t>№4</t>
        </is>
      </c>
      <c r="B5" s="6" t="n">
        <v>800</v>
      </c>
      <c r="C5" s="4" t="n"/>
      <c r="D5" s="4" t="n"/>
      <c r="E5" s="4" t="n"/>
      <c r="F5" s="4" t="n"/>
      <c r="G5" s="6" t="n"/>
      <c r="H5" s="6" t="n"/>
      <c r="I5" s="6" t="n"/>
      <c r="K5" s="8" t="n">
        <v>4</v>
      </c>
      <c r="L5" s="8" t="inlineStr">
        <is>
          <t>СУММ</t>
        </is>
      </c>
      <c r="M5" s="8" t="inlineStr">
        <is>
          <t>Дүкен барлық тапсырыстан қанша ақша алады? E2:E6-ны E7-ге қос.</t>
        </is>
      </c>
      <c r="N5" s="8" t="inlineStr">
        <is>
          <t>E7</t>
        </is>
      </c>
      <c r="O5" s="9">
        <f>IF(ISBLANK(E7),"—",IF(OR(NOT(_xlfn.ISFORMULA(E7))),"✗ дайын жауап емес, формула керек",IF(NOT(OR(ISNUMBER(SEARCH("СУММ(",IFERROR(_xlfn.FORMULATEXT(E7),""))),ISNUMBER(SEARCH("SUM(",IFERROR(_xlfn.FORMULATEXT(E7),""))))),"✗ СУММ функциясы керек",IF(NOT(AND(IFERROR(ABS(E7-(SUM(E2:E6)))&lt;=0.01*MAX(1,ABS(SUM(E2:E6))),FALSE))),"✗ жауап дұрыс емес — формула мен ауқымды тексер","✓ дұрыс"))))</f>
        <v/>
      </c>
    </row>
    <row r="6">
      <c r="A6" s="6" t="inlineStr">
        <is>
          <t>№5</t>
        </is>
      </c>
      <c r="B6" s="6" t="n">
        <v>10000</v>
      </c>
      <c r="C6" s="4" t="n"/>
      <c r="D6" s="4" t="n"/>
      <c r="E6" s="4" t="n"/>
      <c r="F6" s="4" t="n"/>
      <c r="G6" s="6" t="n"/>
      <c r="H6" s="6" t="n"/>
      <c r="I6" s="6" t="n"/>
      <c r="K6" s="8" t="n">
        <v>5</v>
      </c>
      <c r="L6" s="8" t="inlineStr">
        <is>
          <t>сан бойынша мәтін</t>
        </is>
      </c>
      <c r="M6" s="8" t="inlineStr">
        <is>
          <t>Төленетін сома 5000 тг-ден көп болса — «ірі», әйтпесе «кәдімгі». F2-ге жазып, созып көшір. №3 тапсырыста не (F4)?</t>
        </is>
      </c>
      <c r="N6" s="8" t="inlineStr">
        <is>
          <t>F2 → F6 ұяшығына дейін созып көшір; жауап F4 ұяшығында</t>
        </is>
      </c>
      <c r="O6" s="9">
        <f>IF(ISBLANK(F2),"—",IF(OR(NOT(_xlfn.ISFORMULA(F2)),NOT(_xlfn.ISFORMULA(F3)),NOT(_xlfn.ISFORMULA(F4)),NOT(_xlfn.ISFORMULA(F5)),NOT(_xlfn.ISFORMULA(F6))),"✗ дайын жауап емес, формула керек (формуланы төмен созып көшір)",IF(NOT(OR(ISNUMBER(SEARCH("ЕСЛИ(",IFERROR(_xlfn.FORMULATEXT(F2),""))),ISNUMBER(SEARCH("IF(",IFERROR(_xlfn.FORMULATEXT(F2),""))))),"✗ ЕСЛИ функциясы керек",IF(NOT(AND(IFERROR(SUBSTITUTE(LOWER(F2&amp;""),"ё","е")=SUBSTITUTE(LOWER((IF(E2&gt;5000,"ірі","кәдімгі"))&amp;""),"ё","е"),FALSE),IFERROR(SUBSTITUTE(LOWER(F3&amp;""),"ё","е")=SUBSTITUTE(LOWER((IF(E3&gt;5000,"ірі","кәдімгі"))&amp;""),"ё","е"),FALSE),IFERROR(SUBSTITUTE(LOWER(F4&amp;""),"ё","е")=SUBSTITUTE(LOWER((IF(E4&gt;5000,"ірі","кәдімгі"))&amp;""),"ё","е"),FALSE),IFERROR(SUBSTITUTE(LOWER(F5&amp;""),"ё","е")=SUBSTITUTE(LOWER((IF(E5&gt;5000,"ірі","кәдімгі"))&amp;""),"ё","е"),FALSE),IFERROR(SUBSTITUTE(LOWER(F6&amp;""),"ё","е")=SUBSTITUTE(LOWER((IF(E6&gt;5000,"ірі","кәдімгі"))&amp;""),"ё","е"),FALSE))),"✗ жауап дұрыс емес — формула мен ауқымды тексер","✓ дұрыс"))))</f>
        <v/>
      </c>
    </row>
    <row r="7">
      <c r="A7" s="6" t="inlineStr">
        <is>
          <t>Барлығы</t>
        </is>
      </c>
      <c r="B7" s="6" t="n"/>
      <c r="C7" s="6" t="n"/>
      <c r="D7" s="6" t="n"/>
      <c r="E7" s="4" t="n"/>
      <c r="F7" s="6" t="n"/>
      <c r="G7" s="6" t="n"/>
      <c r="H7" s="6" t="n"/>
      <c r="I7" s="6" t="n"/>
      <c r="K7" s="8" t="n">
        <v>6</v>
      </c>
      <c r="L7" s="8" t="inlineStr">
        <is>
          <t>күрделі: деректерді өзгерт</t>
        </is>
      </c>
      <c r="M7" s="8" t="inlineStr">
        <is>
          <t>№4 тапсырыс 4900 тг-ге өсті — B5-ті өзгерт. Енді төлеуге қанша (E5)? Неге жеткізу ақысы жойылмады?</t>
        </is>
      </c>
      <c r="N7" s="8" t="inlineStr">
        <is>
          <t>B5 мәнін 4900 деп өзгерт; жауап E5 ұяшығында</t>
        </is>
      </c>
      <c r="O7" s="9">
        <f>IF(ISBLANK(E5),"—",IF(NOT(AND(B5=4900)),"✗ алдымен B5 мәнін 4900 деп өзгерт",IF(OR(NOT(_xlfn.ISFORMULA(E5))),"✗ дайын жауап емес, формула керек",IF(NOT(AND(IFERROR(ABS(E5-(B5+C5-D5))&lt;=0.01*MAX(1,ABS(B5+C5-D5)),FALSE))),"✗ жауап дұрыс емес — формула мен ауқымды тексер","✓ дұрыс"))))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Орындалған қадамдар:</t>
        </is>
      </c>
      <c r="O9" s="11">
        <f>COUNTIF(O2:O7,"✓*")&amp;" /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Оқушы</t>
        </is>
      </c>
      <c r="B1" s="5" t="inlineStr">
        <is>
          <t>60 м жүгіру, с</t>
        </is>
      </c>
      <c r="C1" s="5" t="inlineStr">
        <is>
          <t>Секіру, см</t>
        </is>
      </c>
      <c r="D1" s="5" t="inlineStr">
        <is>
          <t>Жерден итерілу</t>
        </is>
      </c>
      <c r="E1" s="5" t="inlineStr">
        <is>
          <t>Жүгіру және секіру</t>
        </is>
      </c>
      <c r="F1" s="5" t="inlineStr">
        <is>
          <t>Үш норма да</t>
        </is>
      </c>
      <c r="G1" s="5" t="inlineStr">
        <is>
          <t>Қорытынды</t>
        </is>
      </c>
      <c r="H1" s="5" t="inlineStr">
        <is>
          <t>Секіру 150–180</t>
        </is>
      </c>
      <c r="I1" s="5" t="inlineStr">
        <is>
          <t>Қайта тапсыру ма?</t>
        </is>
      </c>
      <c r="K1" s="7" t="inlineStr">
        <is>
          <t>№</t>
        </is>
      </c>
      <c r="L1" s="7" t="inlineStr">
        <is>
          <t>Қадам түрі</t>
        </is>
      </c>
      <c r="M1" s="7" t="inlineStr">
        <is>
          <t>Тапсырма</t>
        </is>
      </c>
      <c r="N1" s="7" t="inlineStr">
        <is>
          <t>Ұяшық</t>
        </is>
      </c>
      <c r="O1" s="7" t="inlineStr">
        <is>
          <t>Тексеру</t>
        </is>
      </c>
    </row>
    <row r="2">
      <c r="A2" s="6" t="inlineStr">
        <is>
          <t>Айдана</t>
        </is>
      </c>
      <c r="B2" s="6" t="n">
        <v>9.800000000000001</v>
      </c>
      <c r="C2" s="6" t="n">
        <v>155</v>
      </c>
      <c r="D2" s="6" t="n">
        <v>12</v>
      </c>
      <c r="E2" s="4" t="n"/>
      <c r="F2" s="4" t="n"/>
      <c r="G2" s="4" t="n"/>
      <c r="H2" s="4" t="n"/>
      <c r="I2" s="4" t="n"/>
      <c r="K2" s="8" t="n">
        <v>1</v>
      </c>
      <c r="L2" s="8" t="inlineStr">
        <is>
          <t>Екі шарттан тұратын И</t>
        </is>
      </c>
      <c r="M2" s="8" t="inlineStr">
        <is>
          <t>E2-де екі норманы тексер: жүгіру 10 с-тан ұзақ емес ЖӘНЕ секіру 150 см-ден кем емес. E6-ға дейін созып көшір. Тимурда не (E3)?</t>
        </is>
      </c>
      <c r="N2" s="8" t="inlineStr">
        <is>
          <t>E2 → E6 ұяшығына дейін созып көшір; жауап E3 ұяшығында</t>
        </is>
      </c>
      <c r="O2" s="9">
        <f>IF(ISBLANK(E2),"—",IF(OR(NOT(_xlfn.ISFORMULA(E2)),NOT(_xlfn.ISFORMULA(E3)),NOT(_xlfn.ISFORMULA(E4)),NOT(_xlfn.ISFORMULA(E5)),NOT(_xlfn.ISFORMULA(E6))),"✗ дайын жауап емес, формула керек (формуланы төмен созып көшір)",IF(NOT(OR(ISNUMBER(SEARCH("AND(",IFERROR(_xlfn.FORMULATEXT(E2),""))),(LEN(IFERROR(_xlfn.FORMULATEXT(E2),""))-LEN(SUBSTITUTE(UPPER(IFERROR(_xlfn.FORMULATEXT(E2),"")),"И(","")))/2&gt;(LEN(IFERROR(_xlfn.FORMULATEXT(E2),""))-LEN(SUBSTITUTE(UPPER(IFERROR(_xlfn.FORMULATEXT(E2),"")),"ЛИ(","")))/3)),"✗ И функциясы керек",IF(NOT(AND(IFERROR(SUBSTITUTE(LOWER(E2&amp;""),"ё","е")=SUBSTITUTE(LOWER((AND(B2&lt;=10,C2&gt;=150))&amp;""),"ё","е"),FALSE),IFERROR(SUBSTITUTE(LOWER(E3&amp;""),"ё","е")=SUBSTITUTE(LOWER((AND(B3&lt;=10,C3&gt;=150))&amp;""),"ё","е"),FALSE),IFERROR(SUBSTITUTE(LOWER(E4&amp;""),"ё","е")=SUBSTITUTE(LOWER((AND(B4&lt;=10,C4&gt;=150))&amp;""),"ё","е"),FALSE),IFERROR(SUBSTITUTE(LOWER(E5&amp;""),"ё","е")=SUBSTITUTE(LOWER((AND(B5&lt;=10,C5&gt;=150))&amp;""),"ё","е"),FALSE),IFERROR(SUBSTITUTE(LOWER(E6&amp;""),"ё","е")=SUBSTITUTE(LOWER((AND(B6&lt;=10,C6&gt;=150))&amp;""),"ё","е"),FALSE))),"✗ жауап дұрыс емес — формула мен ауқымды тексер","✓ дұрыс"))))</f>
        <v/>
      </c>
    </row>
    <row r="3">
      <c r="A3" s="6" t="inlineStr">
        <is>
          <t>Тимур</t>
        </is>
      </c>
      <c r="B3" s="6" t="n">
        <v>10.4</v>
      </c>
      <c r="C3" s="6" t="n">
        <v>170</v>
      </c>
      <c r="D3" s="6" t="n">
        <v>25</v>
      </c>
      <c r="E3" s="4" t="n"/>
      <c r="F3" s="4" t="n"/>
      <c r="G3" s="4" t="n"/>
      <c r="H3" s="4" t="n"/>
      <c r="I3" s="4" t="n"/>
      <c r="K3" s="8" t="n">
        <v>2</v>
      </c>
      <c r="L3" s="8" t="inlineStr">
        <is>
          <t>Үш шарттан тұратын И</t>
        </is>
      </c>
      <c r="M3" s="8" t="inlineStr">
        <is>
          <t>Үшінші норманы қос: жерден итерілу кемінде 15. F2-ге — үш шарты бар И, созып көшір. Арманда не (F5)?</t>
        </is>
      </c>
      <c r="N3" s="8" t="inlineStr">
        <is>
          <t>F2 → F6 ұяшығына дейін созып көшір; жауап F5 ұяшығында</t>
        </is>
      </c>
      <c r="O3" s="9">
        <f>IF(ISBLANK(F2),"—",IF(OR(NOT(_xlfn.ISFORMULA(F2)),NOT(_xlfn.ISFORMULA(F3)),NOT(_xlfn.ISFORMULA(F4)),NOT(_xlfn.ISFORMULA(F5)),NOT(_xlfn.ISFORMULA(F6))),"✗ дайын жауап емес, формула керек (формуланы төмен созып көшір)",IF(NOT(OR(ISNUMBER(SEARCH("AND(",IFERROR(_xlfn.FORMULATEXT(F2),""))),(LEN(IFERROR(_xlfn.FORMULATEXT(F2),""))-LEN(SUBSTITUTE(UPPER(IFERROR(_xlfn.FORMULATEXT(F2),"")),"И(","")))/2&gt;(LEN(IFERROR(_xlfn.FORMULATEXT(F2),""))-LEN(SUBSTITUTE(UPPER(IFERROR(_xlfn.FORMULATEXT(F2),"")),"ЛИ(","")))/3)),"✗ И функциясы керек",IF(NOT(AND(IFERROR(SUBSTITUTE(LOWER(F2&amp;""),"ё","е")=SUBSTITUTE(LOWER((AND(B2&lt;=10,C2&gt;=150,D2&gt;=15))&amp;""),"ё","е"),FALSE),IFERROR(SUBSTITUTE(LOWER(F3&amp;""),"ё","е")=SUBSTITUTE(LOWER((AND(B3&lt;=10,C3&gt;=150,D3&gt;=15))&amp;""),"ё","е"),FALSE),IFERROR(SUBSTITUTE(LOWER(F4&amp;""),"ё","е")=SUBSTITUTE(LOWER((AND(B4&lt;=10,C4&gt;=150,D4&gt;=15))&amp;""),"ё","е"),FALSE),IFERROR(SUBSTITUTE(LOWER(F5&amp;""),"ё","е")=SUBSTITUTE(LOWER((AND(B5&lt;=10,C5&gt;=150,D5&gt;=15))&amp;""),"ё","е"),FALSE),IFERROR(SUBSTITUTE(LOWER(F6&amp;""),"ё","е")=SUBSTITUTE(LOWER((AND(B6&lt;=10,C6&gt;=150,D6&gt;=15))&amp;""),"ё","е"),FALSE))),"✗ жауап дұрыс емес — формула мен ауқымды тексер","✓ дұрыс"))))</f>
        <v/>
      </c>
    </row>
    <row r="4">
      <c r="A4" s="6" t="inlineStr">
        <is>
          <t>Дана</t>
        </is>
      </c>
      <c r="B4" s="6" t="n">
        <v>9.199999999999999</v>
      </c>
      <c r="C4" s="6" t="n">
        <v>140</v>
      </c>
      <c r="D4" s="6" t="n">
        <v>18</v>
      </c>
      <c r="E4" s="4" t="n"/>
      <c r="F4" s="4" t="n"/>
      <c r="G4" s="4" t="n"/>
      <c r="H4" s="4" t="n"/>
      <c r="I4" s="4" t="n"/>
      <c r="K4" s="8" t="n">
        <v>3</v>
      </c>
      <c r="L4" s="8" t="inlineStr">
        <is>
          <t>ЕСЛИ + И</t>
        </is>
      </c>
      <c r="M4" s="8" t="inlineStr">
        <is>
          <t>G2-ге сөзбен шығар: үш норма да орындалса — «есептелді», әйтпесе «қайта тапсыру». Созып көшір. Айданада не (G2)?</t>
        </is>
      </c>
      <c r="N4" s="8" t="inlineStr">
        <is>
          <t>G2 → G6 ұяшығына дейін созып көшір; жауап G2 ұяшығында</t>
        </is>
      </c>
      <c r="O4" s="9">
        <f>IF(ISBLANK(G2),"—",IF(OR(NOT(_xlfn.ISFORMULA(G2)),NOT(_xlfn.ISFORMULA(G3)),NOT(_xlfn.ISFORMULA(G4)),NOT(_xlfn.ISFORMULA(G5)),NOT(_xlfn.ISFORMULA(G6))),"✗ дайын жауап емес, формула керек (формуланы төмен созып көшір)",IF(NOT(OR(ISNUMBER(SEARCH("ЕСЛИ(",IFERROR(_xlfn.FORMULATEXT(G2),""))),ISNUMBER(SEARCH("IF(",IFERROR(_xlfn.FORMULATEXT(G2),""))))),"✗ ЕСЛИ функциясы керек",IF(NOT(OR(ISNUMBER(SEARCH("AND(",IFERROR(_xlfn.FORMULATEXT(G2),""))),(LEN(IFERROR(_xlfn.FORMULATEXT(G2),""))-LEN(SUBSTITUTE(UPPER(IFERROR(_xlfn.FORMULATEXT(G2),"")),"И(","")))/2&gt;(LEN(IFERROR(_xlfn.FORMULATEXT(G2),""))-LEN(SUBSTITUTE(UPPER(IFERROR(_xlfn.FORMULATEXT(G2),"")),"ЛИ(","")))/3)),"✗ И функциясы керек",IF(NOT(AND(IFERROR(SUBSTITUTE(LOWER(G2&amp;""),"ё","е")=SUBSTITUTE(LOWER((IF(AND(B2&lt;=10,C2&gt;=150,D2&gt;=15),"есептелді","қайта тапсыру"))&amp;""),"ё","е"),FALSE),IFERROR(SUBSTITUTE(LOWER(G3&amp;""),"ё","е")=SUBSTITUTE(LOWER((IF(AND(B3&lt;=10,C3&gt;=150,D3&gt;=15),"есептелді","қайта тапсыру"))&amp;""),"ё","е"),FALSE),IFERROR(SUBSTITUTE(LOWER(G4&amp;""),"ё","е")=SUBSTITUTE(LOWER((IF(AND(B4&lt;=10,C4&gt;=150,D4&gt;=15),"есептелді","қайта тапсыру"))&amp;""),"ё","е"),FALSE),IFERROR(SUBSTITUTE(LOWER(G5&amp;""),"ё","е")=SUBSTITUTE(LOWER((IF(AND(B5&lt;=10,C5&gt;=150,D5&gt;=15),"есептелді","қайта тапсыру"))&amp;""),"ё","е"),FALSE),IFERROR(SUBSTITUTE(LOWER(G6&amp;""),"ё","е")=SUBSTITUTE(LOWER((IF(AND(B6&lt;=10,C6&gt;=150,D6&gt;=15),"есептелді","қайта тапсыру"))&amp;""),"ё","е"),FALSE))),"✗ жауап дұрыс емес — формула мен ауқымды тексер","✓ дұрыс")))))</f>
        <v/>
      </c>
    </row>
    <row r="5">
      <c r="A5" s="6" t="inlineStr">
        <is>
          <t>Арман</t>
        </is>
      </c>
      <c r="B5" s="6" t="n">
        <v>8.9</v>
      </c>
      <c r="C5" s="6" t="n">
        <v>182</v>
      </c>
      <c r="D5" s="6" t="n">
        <v>30</v>
      </c>
      <c r="E5" s="4" t="n"/>
      <c r="F5" s="4" t="n"/>
      <c r="G5" s="4" t="n"/>
      <c r="H5" s="4" t="n"/>
      <c r="I5" s="4" t="n"/>
      <c r="K5" s="8" t="n">
        <v>4</v>
      </c>
      <c r="L5" s="8" t="inlineStr">
        <is>
          <t>аралық</t>
        </is>
      </c>
      <c r="M5" s="8" t="inlineStr">
        <is>
          <t>Секіру 150-ден 180 см-ге дейін (қоса алғанда) болса, «нормада». H2-де И арқылы тексеріп, созып көшір. Арманда не (H5)?</t>
        </is>
      </c>
      <c r="N5" s="8" t="inlineStr">
        <is>
          <t>H2 → H6 ұяшығына дейін созып көшір; жауап H5 ұяшығында</t>
        </is>
      </c>
      <c r="O5" s="9">
        <f>IF(ISBLANK(H2),"—",IF(OR(NOT(_xlfn.ISFORMULA(H2)),NOT(_xlfn.ISFORMULA(H3)),NOT(_xlfn.ISFORMULA(H4)),NOT(_xlfn.ISFORMULA(H5)),NOT(_xlfn.ISFORMULA(H6))),"✗ дайын жауап емес, формула керек (формуланы төмен созып көшір)",IF(NOT(OR(ISNUMBER(SEARCH("AND(",IFERROR(_xlfn.FORMULATEXT(H2),""))),(LEN(IFERROR(_xlfn.FORMULATEXT(H2),""))-LEN(SUBSTITUTE(UPPER(IFERROR(_xlfn.FORMULATEXT(H2),"")),"И(","")))/2&gt;(LEN(IFERROR(_xlfn.FORMULATEXT(H2),""))-LEN(SUBSTITUTE(UPPER(IFERROR(_xlfn.FORMULATEXT(H2),"")),"ЛИ(","")))/3)),"✗ И функциясы керек",IF(NOT(AND(IFERROR(SUBSTITUTE(LOWER(H2&amp;""),"ё","е")=SUBSTITUTE(LOWER((AND(C2&gt;=150,C2&lt;=180))&amp;""),"ё","е"),FALSE),IFERROR(SUBSTITUTE(LOWER(H3&amp;""),"ё","е")=SUBSTITUTE(LOWER((AND(C3&gt;=150,C3&lt;=180))&amp;""),"ё","е"),FALSE),IFERROR(SUBSTITUTE(LOWER(H4&amp;""),"ё","е")=SUBSTITUTE(LOWER((AND(C4&gt;=150,C4&lt;=180))&amp;""),"ё","е"),FALSE),IFERROR(SUBSTITUTE(LOWER(H5&amp;""),"ё","е")=SUBSTITUTE(LOWER((AND(C5&gt;=150,C5&lt;=180))&amp;""),"ё","е"),FALSE),IFERROR(SUBSTITUTE(LOWER(H6&amp;""),"ё","е")=SUBSTITUTE(LOWER((AND(C6&gt;=150,C6&lt;=180))&amp;""),"ё","е"),FALSE))),"✗ жауап дұрыс емес — формула мен ауқымды тексер","✓ дұрыс"))))</f>
        <v/>
      </c>
    </row>
    <row r="6">
      <c r="A6" s="6" t="inlineStr">
        <is>
          <t>Мадина</t>
        </is>
      </c>
      <c r="B6" s="6" t="n">
        <v>11</v>
      </c>
      <c r="C6" s="6" t="n">
        <v>130</v>
      </c>
      <c r="D6" s="6" t="n">
        <v>8</v>
      </c>
      <c r="E6" s="4" t="n"/>
      <c r="F6" s="4" t="n"/>
      <c r="G6" s="4" t="n"/>
      <c r="H6" s="4" t="n"/>
      <c r="I6" s="4" t="n"/>
      <c r="K6" s="8" t="n">
        <v>5</v>
      </c>
      <c r="L6" s="8" t="inlineStr">
        <is>
          <t>НЕ</t>
        </is>
      </c>
      <c r="M6" s="8" t="inlineStr">
        <is>
          <t>I2-де қайта тапсыратындар үшін ИСТИНА ал: НЕ(үш норма). Созып көшір. Мадинада не (I6)?</t>
        </is>
      </c>
      <c r="N6" s="8" t="inlineStr">
        <is>
          <t>I2 → I6 ұяшығына дейін созып көшір; жауап I6 ұяшығында</t>
        </is>
      </c>
      <c r="O6" s="9">
        <f>IF(ISBLANK(I2),"—",IF(OR(NOT(_xlfn.ISFORMULA(I2)),NOT(_xlfn.ISFORMULA(I3)),NOT(_xlfn.ISFORMULA(I4)),NOT(_xlfn.ISFORMULA(I5)),NOT(_xlfn.ISFORMULA(I6))),"✗ дайын жауап емес, формула керек (формуланы төмен созып көшір)",IF(NOT(OR(ISNUMBER(SEARCH("НЕ(",IFERROR(_xlfn.FORMULATEXT(I2),""))),ISNUMBER(SEARCH("NOT(",IFERROR(_xlfn.FORMULATEXT(I2),""))))),"✗ НЕ функциясы керек",IF(NOT(AND(IFERROR(SUBSTITUTE(LOWER(I2&amp;""),"ё","е")=SUBSTITUTE(LOWER((NOT(F2))&amp;""),"ё","е"),FALSE),IFERROR(SUBSTITUTE(LOWER(I3&amp;""),"ё","е")=SUBSTITUTE(LOWER((NOT(F3))&amp;""),"ё","е"),FALSE),IFERROR(SUBSTITUTE(LOWER(I4&amp;""),"ё","е")=SUBSTITUTE(LOWER((NOT(F4))&amp;""),"ё","е"),FALSE),IFERROR(SUBSTITUTE(LOWER(I5&amp;""),"ё","е")=SUBSTITUTE(LOWER((NOT(F5))&amp;""),"ё","е"),FALSE),IFERROR(SUBSTITUTE(LOWER(I6&amp;""),"ё","е")=SUBSTITUTE(LOWER((NOT(F6))&amp;""),"ё","е"),FALSE))),"✗ жауап дұрыс емес — формула мен ауқымды тексер","✓ дұрыс"))))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K7" s="8" t="n">
        <v>6</v>
      </c>
      <c r="L7" s="8" t="inlineStr">
        <is>
          <t>күрделі: деректерді өзгерт</t>
        </is>
      </c>
      <c r="M7" s="8" t="inlineStr">
        <is>
          <t>Айдана жерден итерілуді қайта тапсырды — 15 рет. D2-ні өзгерт. Енді G2-де не тұр?</t>
        </is>
      </c>
      <c r="N7" s="8" t="inlineStr">
        <is>
          <t>D2 мәнін 15 деп өзгерт; жауап G2 ұяшығында</t>
        </is>
      </c>
      <c r="O7" s="9">
        <f>IF(ISBLANK(G2),"—",IF(NOT(AND(D2=15)),"✗ алдымен D2 мәнін 15 деп өзгерт",IF(OR(NOT(_xlfn.ISFORMULA(G2))),"✗ дайын жауап емес, формула керек",IF(NOT(AND(IFERROR(SUBSTITUTE(LOWER(G2&amp;""),"ё","е")=SUBSTITUTE(LOWER((IF(AND(B2&lt;=10,C2&gt;=150,D2&gt;=15),"есептелді","қайта тапсыру"))&amp;""),"ё","е"),FALSE))),"✗ жауап дұрыс емес — формула мен ауқымды тексер","✓ дұрыс"))))</f>
        <v/>
      </c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Орындалған қадамдар:</t>
        </is>
      </c>
      <c r="O9" s="11">
        <f>COUNTIF(O2:O7,"✓*")&amp;" /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Көрермен</t>
        </is>
      </c>
      <c r="B1" s="5" t="inlineStr">
        <is>
          <t>Жасы</t>
        </is>
      </c>
      <c r="C1" s="5" t="inlineStr">
        <is>
          <t>Күн</t>
        </is>
      </c>
      <c r="D1" s="5" t="inlineStr">
        <is>
          <t>Жеңілдік</t>
        </is>
      </c>
      <c r="E1" s="5" t="inlineStr">
        <is>
          <t>Демалыс</t>
        </is>
      </c>
      <c r="F1" s="5" t="inlineStr">
        <is>
          <t>Бағасы, тг</t>
        </is>
      </c>
      <c r="G1" s="5" t="inlineStr">
        <is>
          <t>Төлеуге, тг</t>
        </is>
      </c>
      <c r="H1" s="5" t="inlineStr">
        <is>
          <t>Жұмыс күні</t>
        </is>
      </c>
      <c r="I1" s="6" t="n"/>
      <c r="K1" s="7" t="inlineStr">
        <is>
          <t>№</t>
        </is>
      </c>
      <c r="L1" s="7" t="inlineStr">
        <is>
          <t>Қадам түрі</t>
        </is>
      </c>
      <c r="M1" s="7" t="inlineStr">
        <is>
          <t>Тапсырма</t>
        </is>
      </c>
      <c r="N1" s="7" t="inlineStr">
        <is>
          <t>Ұяшық</t>
        </is>
      </c>
      <c r="O1" s="7" t="inlineStr">
        <is>
          <t>Тексеру</t>
        </is>
      </c>
    </row>
    <row r="2">
      <c r="A2" s="6" t="inlineStr">
        <is>
          <t>Айдана</t>
        </is>
      </c>
      <c r="B2" s="6" t="n">
        <v>13</v>
      </c>
      <c r="C2" s="6" t="inlineStr">
        <is>
          <t>дс</t>
        </is>
      </c>
      <c r="D2" s="4" t="n"/>
      <c r="E2" s="4" t="n"/>
      <c r="F2" s="4" t="n"/>
      <c r="G2" s="4" t="n"/>
      <c r="H2" s="4" t="n"/>
      <c r="I2" s="6" t="n"/>
      <c r="K2" s="8" t="n">
        <v>1</v>
      </c>
      <c r="L2" s="8" t="inlineStr">
        <is>
          <t>ИЛИ: жас</t>
        </is>
      </c>
      <c r="M2" s="8" t="inlineStr">
        <is>
          <t>Жеңілдік — 7 жастан кіші балаларға НЕМЕСЕ 65 жастан асқан көрермендерге. D2-ге — ИЛИ, D7-ге дейін созып көшір. Серікте не (D3)?</t>
        </is>
      </c>
      <c r="N2" s="8" t="inlineStr">
        <is>
          <t>D2 → D7 ұяшығына дейін созып көшір; жауап D3 ұяшығында</t>
        </is>
      </c>
      <c r="O2" s="9">
        <f>IF(ISBLANK(D2),"—",IF(OR(NOT(_xlfn.ISFORMULA(D2)),NOT(_xlfn.ISFORMULA(D3)),NOT(_xlfn.ISFORMULA(D4)),NOT(_xlfn.ISFORMULA(D5)),NOT(_xlfn.ISFORMULA(D6)),NOT(_xlfn.ISFORMULA(D7))),"✗ дайын жауап емес, формула керек (формуланы төмен созып көшір)",IF(NOT(OR(ISNUMBER(SEARCH("ИЛИ(",IFERROR(_xlfn.FORMULATEXT(D2),""))),ISNUMBER(SEARCH("OR(",IFERROR(_xlfn.FORMULATEXT(D2),""))))),"✗ ИЛИ функциясы керек",IF(NOT(AND(IFERROR(SUBSTITUTE(LOWER(D2&amp;""),"ё","е")=SUBSTITUTE(LOWER((OR(B2&lt;7,B2&gt;65))&amp;""),"ё","е"),FALSE),IFERROR(SUBSTITUTE(LOWER(D3&amp;""),"ё","е")=SUBSTITUTE(LOWER((OR(B3&lt;7,B3&gt;65))&amp;""),"ё","е"),FALSE),IFERROR(SUBSTITUTE(LOWER(D4&amp;""),"ё","е")=SUBSTITUTE(LOWER((OR(B4&lt;7,B4&gt;65))&amp;""),"ё","е"),FALSE),IFERROR(SUBSTITUTE(LOWER(D5&amp;""),"ё","е")=SUBSTITUTE(LOWER((OR(B5&lt;7,B5&gt;65))&amp;""),"ё","е"),FALSE),IFERROR(SUBSTITUTE(LOWER(D6&amp;""),"ё","е")=SUBSTITUTE(LOWER((OR(B6&lt;7,B6&gt;65))&amp;""),"ё","е"),FALSE),IFERROR(SUBSTITUTE(LOWER(D7&amp;""),"ё","е")=SUBSTITUTE(LOWER((OR(B7&lt;7,B7&gt;65))&amp;""),"ё","е"),FALSE))),"✗ жауап дұрыс емес — формула мен ауқымды тексер","✓ дұрыс"))))</f>
        <v/>
      </c>
    </row>
    <row r="3">
      <c r="A3" s="6" t="inlineStr">
        <is>
          <t>Серік</t>
        </is>
      </c>
      <c r="B3" s="6" t="n">
        <v>68</v>
      </c>
      <c r="C3" s="6" t="inlineStr">
        <is>
          <t>ср</t>
        </is>
      </c>
      <c r="D3" s="4" t="n"/>
      <c r="E3" s="4" t="n"/>
      <c r="F3" s="4" t="n"/>
      <c r="G3" s="4" t="n"/>
      <c r="H3" s="4" t="n"/>
      <c r="I3" s="6" t="n"/>
      <c r="K3" s="8" t="n">
        <v>2</v>
      </c>
      <c r="L3" s="8" t="inlineStr">
        <is>
          <t>Мәтінмен ИЛИ</t>
        </is>
      </c>
      <c r="M3" s="8" t="inlineStr">
        <is>
          <t>Күн «сн» НЕМЕСЕ «жс» болса — демалыс. E2-де тексеріп, созып көшір. Данада не (E5)?</t>
        </is>
      </c>
      <c r="N3" s="8" t="inlineStr">
        <is>
          <t>E2 → E7 ұяшығына дейін созып көшір; жауап E5 ұяшығында</t>
        </is>
      </c>
      <c r="O3" s="9">
        <f>IF(ISBLANK(E2),"—",IF(OR(NOT(_xlfn.ISFORMULA(E2)),NOT(_xlfn.ISFORMULA(E3)),NOT(_xlfn.ISFORMULA(E4)),NOT(_xlfn.ISFORMULA(E5)),NOT(_xlfn.ISFORMULA(E6)),NOT(_xlfn.ISFORMULA(E7))),"✗ дайын жауап емес, формула керек (формуланы төмен созып көшір)",IF(NOT(OR(ISNUMBER(SEARCH("ИЛИ(",IFERROR(_xlfn.FORMULATEXT(E2),""))),ISNUMBER(SEARCH("OR(",IFERROR(_xlfn.FORMULATEXT(E2),""))))),"✗ ИЛИ функциясы керек",IF(NOT(AND(IFERROR(SUBSTITUTE(LOWER(E2&amp;""),"ё","е")=SUBSTITUTE(LOWER((OR(C2="сн",C2="жс"))&amp;""),"ё","е"),FALSE),IFERROR(SUBSTITUTE(LOWER(E3&amp;""),"ё","е")=SUBSTITUTE(LOWER((OR(C3="сн",C3="жс"))&amp;""),"ё","е"),FALSE),IFERROR(SUBSTITUTE(LOWER(E4&amp;""),"ё","е")=SUBSTITUTE(LOWER((OR(C4="сн",C4="жс"))&amp;""),"ё","е"),FALSE),IFERROR(SUBSTITUTE(LOWER(E5&amp;""),"ё","е")=SUBSTITUTE(LOWER((OR(C5="сн",C5="жс"))&amp;""),"ё","е"),FALSE),IFERROR(SUBSTITUTE(LOWER(E6&amp;""),"ё","е")=SUBSTITUTE(LOWER((OR(C6="сн",C6="жс"))&amp;""),"ё","е"),FALSE),IFERROR(SUBSTITUTE(LOWER(E7&amp;""),"ё","е")=SUBSTITUTE(LOWER((OR(C7="сн",C7="жс"))&amp;""),"ё","е"),FALSE))),"✗ жауап дұрыс емес — формула мен ауқымды тексер","✓ дұрыс"))))</f>
        <v/>
      </c>
    </row>
    <row r="4">
      <c r="A4" s="6" t="inlineStr">
        <is>
          <t>Тимур</t>
        </is>
      </c>
      <c r="B4" s="6" t="n">
        <v>6</v>
      </c>
      <c r="C4" s="6" t="inlineStr">
        <is>
          <t>сн</t>
        </is>
      </c>
      <c r="D4" s="4" t="n"/>
      <c r="E4" s="4" t="n"/>
      <c r="F4" s="4" t="n"/>
      <c r="G4" s="4" t="n"/>
      <c r="H4" s="4" t="n"/>
      <c r="I4" s="6" t="n"/>
      <c r="K4" s="8" t="n">
        <v>3</v>
      </c>
      <c r="L4" s="8" t="inlineStr">
        <is>
          <t>ЕСЛИ: баға</t>
        </is>
      </c>
      <c r="M4" s="8" t="inlineStr">
        <is>
          <t>Билет бағасы: демалыс күні 2500 тг, жұмыс күні 1800 тг. F2-ге ЕСЛИ арқылы жаз (шарт — E2 ұяшығы) және созып көшір. Тимурдың бағасы қандай (F4)?</t>
        </is>
      </c>
      <c r="N4" s="8" t="inlineStr">
        <is>
          <t>F2 → F7 ұяшығына дейін созып көшір; жауап F4 ұяшығында</t>
        </is>
      </c>
      <c r="O4" s="9">
        <f>IF(ISBLANK(F2),"—",IF(OR(NOT(_xlfn.ISFORMULA(F2)),NOT(_xlfn.ISFORMULA(F3)),NOT(_xlfn.ISFORMULA(F4)),NOT(_xlfn.ISFORMULA(F5)),NOT(_xlfn.ISFORMULA(F6)),NOT(_xlfn.ISFORMULA(F7))),"✗ дайын жауап емес, формула керек (формуланы төмен созып көшір)",IF(NOT(OR(ISNUMBER(SEARCH("ЕСЛИ(",IFERROR(_xlfn.FORMULATEXT(F2),""))),ISNUMBER(SEARCH("IF(",IFERROR(_xlfn.FORMULATEXT(F2),""))))),"✗ ЕСЛИ функциясы керек",IF(NOT(AND(IFERROR(ABS(F2-(IF(E2,2500,1800)))&lt;=0.01*MAX(1,ABS(IF(E2,2500,1800))),FALSE),IFERROR(ABS(F3-(IF(E3,2500,1800)))&lt;=0.01*MAX(1,ABS(IF(E3,2500,1800))),FALSE),IFERROR(ABS(F4-(IF(E4,2500,1800)))&lt;=0.01*MAX(1,ABS(IF(E4,2500,1800))),FALSE),IFERROR(ABS(F5-(IF(E5,2500,1800)))&lt;=0.01*MAX(1,ABS(IF(E5,2500,1800))),FALSE),IFERROR(ABS(F6-(IF(E6,2500,1800)))&lt;=0.01*MAX(1,ABS(IF(E6,2500,1800))),FALSE),IFERROR(ABS(F7-(IF(E7,2500,1800)))&lt;=0.01*MAX(1,ABS(IF(E7,2500,1800))),FALSE))),"✗ жауап дұрыс емес — формула мен ауқымды тексер","✓ дұрыс"))))</f>
        <v/>
      </c>
    </row>
    <row r="5">
      <c r="A5" s="6" t="inlineStr">
        <is>
          <t>Дана</t>
        </is>
      </c>
      <c r="B5" s="6" t="n">
        <v>25</v>
      </c>
      <c r="C5" s="6" t="inlineStr">
        <is>
          <t>жс</t>
        </is>
      </c>
      <c r="D5" s="4" t="n"/>
      <c r="E5" s="4" t="n"/>
      <c r="F5" s="4" t="n"/>
      <c r="G5" s="4" t="n"/>
      <c r="H5" s="4" t="n"/>
      <c r="I5" s="6" t="n"/>
      <c r="K5" s="8" t="n">
        <v>4</v>
      </c>
      <c r="L5" s="8" t="inlineStr">
        <is>
          <t>ЕСЛИ: жеңілдік</t>
        </is>
      </c>
      <c r="M5" s="8" t="inlineStr">
        <is>
          <t>Жеңілдікпен бағаның жартысын төлейді. G2-ге: D2-де ИСТИНА болса — F2/2, әйтпесе F2. Созып көшір. Тимур қанша төлейді (G4)?</t>
        </is>
      </c>
      <c r="N5" s="8" t="inlineStr">
        <is>
          <t>G2 → G7 ұяшығына дейін созып көшір; жауап G4 ұяшығында</t>
        </is>
      </c>
      <c r="O5" s="9">
        <f>IF(ISBLANK(G2),"—",IF(OR(NOT(_xlfn.ISFORMULA(G2)),NOT(_xlfn.ISFORMULA(G3)),NOT(_xlfn.ISFORMULA(G4)),NOT(_xlfn.ISFORMULA(G5)),NOT(_xlfn.ISFORMULA(G6)),NOT(_xlfn.ISFORMULA(G7))),"✗ дайын жауап емес, формула керек (формуланы төмен созып көшір)",IF(NOT(OR(ISNUMBER(SEARCH("ЕСЛИ(",IFERROR(_xlfn.FORMULATEXT(G2),""))),ISNUMBER(SEARCH("IF(",IFERROR(_xlfn.FORMULATEXT(G2),""))))),"✗ ЕСЛИ функциясы керек",IF(NOT(AND(IFERROR(ABS(G2-(IF(D2,F2/2,F2)))&lt;=0.01*MAX(1,ABS(IF(D2,F2/2,F2))),FALSE),IFERROR(ABS(G3-(IF(D3,F3/2,F3)))&lt;=0.01*MAX(1,ABS(IF(D3,F3/2,F3))),FALSE),IFERROR(ABS(G4-(IF(D4,F4/2,F4)))&lt;=0.01*MAX(1,ABS(IF(D4,F4/2,F4))),FALSE),IFERROR(ABS(G5-(IF(D5,F5/2,F5)))&lt;=0.01*MAX(1,ABS(IF(D5,F5/2,F5))),FALSE),IFERROR(ABS(G6-(IF(D6,F6/2,F6)))&lt;=0.01*MAX(1,ABS(IF(D6,F6/2,F6))),FALSE),IFERROR(ABS(G7-(IF(D7,F7/2,F7)))&lt;=0.01*MAX(1,ABS(IF(D7,F7/2,F7))),FALSE))),"✗ жауап дұрыс емес — формула мен ауқымды тексер","✓ дұрыс"))))</f>
        <v/>
      </c>
    </row>
    <row r="6">
      <c r="A6" s="6" t="inlineStr">
        <is>
          <t>Арман</t>
        </is>
      </c>
      <c r="B6" s="6" t="n">
        <v>30</v>
      </c>
      <c r="C6" s="6" t="inlineStr">
        <is>
          <t>сс</t>
        </is>
      </c>
      <c r="D6" s="4" t="n"/>
      <c r="E6" s="4" t="n"/>
      <c r="F6" s="4" t="n"/>
      <c r="G6" s="4" t="n"/>
      <c r="H6" s="4" t="n"/>
      <c r="I6" s="6" t="n"/>
      <c r="K6" s="8" t="n">
        <v>5</v>
      </c>
      <c r="L6" s="8" t="inlineStr">
        <is>
          <t>НЕ</t>
        </is>
      </c>
      <c r="M6" s="8" t="inlineStr">
        <is>
          <t>Жұмыс күні — бұл демалыс ЕМЕС. H2-ге НЕ арқылы жазып, төмен созып көшір. Арманда не (H6)?</t>
        </is>
      </c>
      <c r="N6" s="8" t="inlineStr">
        <is>
          <t>H2 → H7 ұяшығына дейін созып көшір; жауап H6 ұяшығында</t>
        </is>
      </c>
      <c r="O6" s="9">
        <f>IF(ISBLANK(H2),"—",IF(OR(NOT(_xlfn.ISFORMULA(H2)),NOT(_xlfn.ISFORMULA(H3)),NOT(_xlfn.ISFORMULA(H4)),NOT(_xlfn.ISFORMULA(H5)),NOT(_xlfn.ISFORMULA(H6)),NOT(_xlfn.ISFORMULA(H7))),"✗ дайын жауап емес, формула керек (формуланы төмен созып көшір)",IF(NOT(OR(ISNUMBER(SEARCH("НЕ(",IFERROR(_xlfn.FORMULATEXT(H2),""))),ISNUMBER(SEARCH("NOT(",IFERROR(_xlfn.FORMULATEXT(H2),""))))),"✗ НЕ функциясы керек",IF(NOT(AND(IFERROR(SUBSTITUTE(LOWER(H2&amp;""),"ё","е")=SUBSTITUTE(LOWER((NOT(E2))&amp;""),"ё","е"),FALSE),IFERROR(SUBSTITUTE(LOWER(H3&amp;""),"ё","е")=SUBSTITUTE(LOWER((NOT(E3))&amp;""),"ё","е"),FALSE),IFERROR(SUBSTITUTE(LOWER(H4&amp;""),"ё","е")=SUBSTITUTE(LOWER((NOT(E4))&amp;""),"ё","е"),FALSE),IFERROR(SUBSTITUTE(LOWER(H5&amp;""),"ё","е")=SUBSTITUTE(LOWER((NOT(E5))&amp;""),"ё","е"),FALSE),IFERROR(SUBSTITUTE(LOWER(H6&amp;""),"ё","е")=SUBSTITUTE(LOWER((NOT(E6))&amp;""),"ё","е"),FALSE),IFERROR(SUBSTITUTE(LOWER(H7&amp;""),"ё","е")=SUBSTITUTE(LOWER((NOT(E7))&amp;""),"ё","е"),FALSE))),"✗ жауап дұрыс емес — формула мен ауқымды тексер","✓ дұрыс"))))</f>
        <v/>
      </c>
    </row>
    <row r="7">
      <c r="A7" s="6" t="inlineStr">
        <is>
          <t>Мадина</t>
        </is>
      </c>
      <c r="B7" s="6" t="n">
        <v>15</v>
      </c>
      <c r="C7" s="6" t="inlineStr">
        <is>
          <t>сн</t>
        </is>
      </c>
      <c r="D7" s="4" t="n"/>
      <c r="E7" s="4" t="n"/>
      <c r="F7" s="4" t="n"/>
      <c r="G7" s="4" t="n"/>
      <c r="H7" s="4" t="n"/>
      <c r="I7" s="6" t="n"/>
      <c r="K7" s="8" t="n">
        <v>6</v>
      </c>
      <c r="L7" s="8" t="inlineStr">
        <is>
          <t>күрделі: түсім</t>
        </is>
      </c>
      <c r="M7" s="8" t="inlineStr">
        <is>
          <t>Кинотеатр барлық көрерменнен қанша ақша алады? G2:G7-ні G8-ге қос.</t>
        </is>
      </c>
      <c r="N7" s="8" t="inlineStr">
        <is>
          <t>G8</t>
        </is>
      </c>
      <c r="O7" s="9">
        <f>IF(ISBLANK(G8),"—",IF(OR(NOT(_xlfn.ISFORMULA(G8))),"✗ дайын жауап емес, формула керек",IF(NOT(OR(ISNUMBER(SEARCH("СУММ(",IFERROR(_xlfn.FORMULATEXT(G8),""))),ISNUMBER(SEARCH("SUM(",IFERROR(_xlfn.FORMULATEXT(G8),""))))),"✗ СУММ функциясы керек",IF(NOT(AND(IFERROR(ABS(G8-(SUM(G2:G7)))&lt;=0.01*MAX(1,ABS(SUM(G2:G7))),FALSE))),"✗ жауап дұрыс емес — формула мен ауқымды тексер","✓ дұрыс"))))</f>
        <v/>
      </c>
    </row>
    <row r="8">
      <c r="A8" s="6" t="inlineStr">
        <is>
          <t>Түсім</t>
        </is>
      </c>
      <c r="B8" s="6" t="n"/>
      <c r="C8" s="6" t="n"/>
      <c r="D8" s="6" t="n"/>
      <c r="E8" s="6" t="n"/>
      <c r="F8" s="6" t="n"/>
      <c r="G8" s="4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Орындалған қадамдар:</t>
        </is>
      </c>
      <c r="O9" s="11">
        <f>COUNTIF(O2:O7,"✓*")&amp;" /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" customWidth="1" min="11" max="11"/>
    <col width="20" customWidth="1" min="12" max="12"/>
    <col width="60" customWidth="1" min="13" max="13"/>
    <col width="22" customWidth="1" min="14" max="14"/>
    <col width="34" customWidth="1" min="15" max="15"/>
  </cols>
  <sheetData>
    <row r="1">
      <c r="A1" s="5" t="inlineStr">
        <is>
          <t>Студент</t>
        </is>
      </c>
      <c r="B1" s="5" t="inlineStr">
        <is>
          <t>Орташа балл</t>
        </is>
      </c>
      <c r="C1" s="5" t="inlineStr">
        <is>
          <t>Сабақ босату</t>
        </is>
      </c>
      <c r="D1" s="5" t="inlineStr">
        <is>
          <t>Олимпиада</t>
        </is>
      </c>
      <c r="E1" s="5" t="inlineStr">
        <is>
          <t>Шәкіртақы</t>
        </is>
      </c>
      <c r="F1" s="5" t="inlineStr">
        <is>
          <t>Жоғары</t>
        </is>
      </c>
      <c r="G1" s="5" t="inlineStr">
        <is>
          <t>Мақтау қағазы</t>
        </is>
      </c>
      <c r="H1" s="5" t="inlineStr">
        <is>
          <t>Әңгіме</t>
        </is>
      </c>
      <c r="I1" s="5" t="inlineStr">
        <is>
          <t>Сомасы, тг</t>
        </is>
      </c>
      <c r="K1" s="7" t="inlineStr">
        <is>
          <t>№</t>
        </is>
      </c>
      <c r="L1" s="7" t="inlineStr">
        <is>
          <t>Қадам түрі</t>
        </is>
      </c>
      <c r="M1" s="7" t="inlineStr">
        <is>
          <t>Тапсырма</t>
        </is>
      </c>
      <c r="N1" s="7" t="inlineStr">
        <is>
          <t>Ұяшық</t>
        </is>
      </c>
      <c r="O1" s="7" t="inlineStr">
        <is>
          <t>Тексеру</t>
        </is>
      </c>
    </row>
    <row r="2">
      <c r="A2" s="6" t="inlineStr">
        <is>
          <t>Айдана</t>
        </is>
      </c>
      <c r="B2" s="6" t="n">
        <v>4.8</v>
      </c>
      <c r="C2" s="6" t="n">
        <v>2</v>
      </c>
      <c r="D2" s="6" t="inlineStr">
        <is>
          <t>иә</t>
        </is>
      </c>
      <c r="E2" s="4" t="n"/>
      <c r="F2" s="4" t="n"/>
      <c r="G2" s="4" t="n"/>
      <c r="H2" s="4" t="n"/>
      <c r="I2" s="4" t="n"/>
      <c r="K2" s="8" t="n">
        <v>1</v>
      </c>
      <c r="L2" s="8" t="inlineStr">
        <is>
          <t>И</t>
        </is>
      </c>
      <c r="M2" s="8" t="inlineStr">
        <is>
          <t>Орташа балл 4,5-тен төмен болмаса ЖӘНЕ сабақ босату 5-тен көп болмаса, шәкіртақы беріледі. E2-ге — И, E6-ға дейін созып көшір. Арманда не (E5)?</t>
        </is>
      </c>
      <c r="N2" s="8" t="inlineStr">
        <is>
          <t>E2 → E6 ұяшығына дейін созып көшір; жауап E5 ұяшығында</t>
        </is>
      </c>
      <c r="O2" s="9">
        <f>IF(ISBLANK(E2),"—",IF(OR(NOT(_xlfn.ISFORMULA(E2)),NOT(_xlfn.ISFORMULA(E3)),NOT(_xlfn.ISFORMULA(E4)),NOT(_xlfn.ISFORMULA(E5)),NOT(_xlfn.ISFORMULA(E6))),"✗ дайын жауап емес, формула керек (формуланы төмен созып көшір)",IF(NOT(OR(ISNUMBER(SEARCH("AND(",IFERROR(_xlfn.FORMULATEXT(E2),""))),(LEN(IFERROR(_xlfn.FORMULATEXT(E2),""))-LEN(SUBSTITUTE(UPPER(IFERROR(_xlfn.FORMULATEXT(E2),"")),"И(","")))/2&gt;(LEN(IFERROR(_xlfn.FORMULATEXT(E2),""))-LEN(SUBSTITUTE(UPPER(IFERROR(_xlfn.FORMULATEXT(E2),"")),"ЛИ(","")))/3)),"✗ И функциясы керек",IF(NOT(AND(IFERROR(SUBSTITUTE(LOWER(E2&amp;""),"ё","е")=SUBSTITUTE(LOWER((AND(B2&gt;=4.5,C2&lt;=5))&amp;""),"ё","е"),FALSE),IFERROR(SUBSTITUTE(LOWER(E3&amp;""),"ё","е")=SUBSTITUTE(LOWER((AND(B3&gt;=4.5,C3&lt;=5))&amp;""),"ё","е"),FALSE),IFERROR(SUBSTITUTE(LOWER(E4&amp;""),"ё","е")=SUBSTITUTE(LOWER((AND(B4&gt;=4.5,C4&lt;=5))&amp;""),"ё","е"),FALSE),IFERROR(SUBSTITUTE(LOWER(E5&amp;""),"ё","е")=SUBSTITUTE(LOWER((AND(B5&gt;=4.5,C5&lt;=5))&amp;""),"ё","е"),FALSE),IFERROR(SUBSTITUTE(LOWER(E6&amp;""),"ё","е")=SUBSTITUTE(LOWER((AND(B6&gt;=4.5,C6&lt;=5))&amp;""),"ё","е"),FALSE))),"✗ жауап дұрыс емес — формула мен ауқымды тексер","✓ дұрыс"))))</f>
        <v/>
      </c>
    </row>
    <row r="3">
      <c r="A3" s="6" t="inlineStr">
        <is>
          <t>Тимур</t>
        </is>
      </c>
      <c r="B3" s="6" t="n">
        <v>4.2</v>
      </c>
      <c r="C3" s="6" t="n">
        <v>0</v>
      </c>
      <c r="D3" s="6" t="inlineStr">
        <is>
          <t>жоқ</t>
        </is>
      </c>
      <c r="E3" s="4" t="n"/>
      <c r="F3" s="4" t="n"/>
      <c r="G3" s="4" t="n"/>
      <c r="H3" s="4" t="n"/>
      <c r="I3" s="4" t="n"/>
      <c r="K3" s="8" t="n">
        <v>2</v>
      </c>
      <c r="L3" s="8" t="inlineStr">
        <is>
          <t>ЕСЛИ + И</t>
        </is>
      </c>
      <c r="M3" s="8" t="inlineStr">
        <is>
          <t>Жоғарылатылған шәкіртақы — шәкіртақы болса (E2) ЖӘНЕ студент олимпиадаға қатысса (D2 = «иә»). F2-ге — «иә» немесе «жоқ». Айданада не (F2)?</t>
        </is>
      </c>
      <c r="N3" s="8" t="inlineStr">
        <is>
          <t>F2 → F6 ұяшығына дейін созып көшір; жауап F2 ұяшығында</t>
        </is>
      </c>
      <c r="O3" s="9">
        <f>IF(ISBLANK(F2),"—",IF(OR(NOT(_xlfn.ISFORMULA(F2)),NOT(_xlfn.ISFORMULA(F3)),NOT(_xlfn.ISFORMULA(F4)),NOT(_xlfn.ISFORMULA(F5)),NOT(_xlfn.ISFORMULA(F6))),"✗ дайын жауап емес, формула керек (формуланы төмен созып көшір)",IF(NOT(OR(ISNUMBER(SEARCH("ЕСЛИ(",IFERROR(_xlfn.FORMULATEXT(F2),""))),ISNUMBER(SEARCH("IF(",IFERROR(_xlfn.FORMULATEXT(F2),""))))),"✗ ЕСЛИ функциясы керек",IF(NOT(OR(ISNUMBER(SEARCH("AND(",IFERROR(_xlfn.FORMULATEXT(F2),""))),(LEN(IFERROR(_xlfn.FORMULATEXT(F2),""))-LEN(SUBSTITUTE(UPPER(IFERROR(_xlfn.FORMULATEXT(F2),"")),"И(","")))/2&gt;(LEN(IFERROR(_xlfn.FORMULATEXT(F2),""))-LEN(SUBSTITUTE(UPPER(IFERROR(_xlfn.FORMULATEXT(F2),"")),"ЛИ(","")))/3)),"✗ И функциясы керек",IF(NOT(AND(IFERROR(SUBSTITUTE(LOWER(F2&amp;""),"ё","е")=SUBSTITUTE(LOWER((IF(AND(E2,D2="иә"),"иә","жоқ"))&amp;""),"ё","е"),FALSE),IFERROR(SUBSTITUTE(LOWER(F3&amp;""),"ё","е")=SUBSTITUTE(LOWER((IF(AND(E3,D3="иә"),"иә","жоқ"))&amp;""),"ё","е"),FALSE),IFERROR(SUBSTITUTE(LOWER(F4&amp;""),"ё","е")=SUBSTITUTE(LOWER((IF(AND(E4,D4="иә"),"иә","жоқ"))&amp;""),"ё","е"),FALSE),IFERROR(SUBSTITUTE(LOWER(F5&amp;""),"ё","е")=SUBSTITUTE(LOWER((IF(AND(E5,D5="иә"),"иә","жоқ"))&amp;""),"ё","е"),FALSE),IFERROR(SUBSTITUTE(LOWER(F6&amp;""),"ё","е")=SUBSTITUTE(LOWER((IF(AND(E6,D6="иә"),"иә","жоқ"))&amp;""),"ё","е"),FALSE))),"✗ жауап дұрыс емес — формула мен ауқымды тексер","✓ дұрыс")))))</f>
        <v/>
      </c>
    </row>
    <row r="4">
      <c r="A4" s="6" t="inlineStr">
        <is>
          <t>Дана</t>
        </is>
      </c>
      <c r="B4" s="6" t="n">
        <v>3.9</v>
      </c>
      <c r="C4" s="6" t="n">
        <v>5</v>
      </c>
      <c r="D4" s="6" t="inlineStr">
        <is>
          <t>иә</t>
        </is>
      </c>
      <c r="E4" s="4" t="n"/>
      <c r="F4" s="4" t="n"/>
      <c r="G4" s="4" t="n"/>
      <c r="H4" s="4" t="n"/>
      <c r="I4" s="4" t="n"/>
      <c r="K4" s="8" t="n">
        <v>3</v>
      </c>
      <c r="L4" s="8" t="inlineStr">
        <is>
          <t>ИЛИ</t>
        </is>
      </c>
      <c r="M4" s="8" t="inlineStr">
        <is>
          <t>Мақтау қағазы — орташа балл 5 НЕМЕСЕ олимпиада «иә» болса. G2-ге — ИЛИ, созып көшір. Данада не (G4)?</t>
        </is>
      </c>
      <c r="N4" s="8" t="inlineStr">
        <is>
          <t>G2 → G6 ұяшығына дейін созып көшір; жауап G4 ұяшығында</t>
        </is>
      </c>
      <c r="O4" s="9">
        <f>IF(ISBLANK(G2),"—",IF(OR(NOT(_xlfn.ISFORMULA(G2)),NOT(_xlfn.ISFORMULA(G3)),NOT(_xlfn.ISFORMULA(G4)),NOT(_xlfn.ISFORMULA(G5)),NOT(_xlfn.ISFORMULA(G6))),"✗ дайын жауап емес, формула керек (формуланы төмен созып көшір)",IF(NOT(OR(ISNUMBER(SEARCH("ИЛИ(",IFERROR(_xlfn.FORMULATEXT(G2),""))),ISNUMBER(SEARCH("OR(",IFERROR(_xlfn.FORMULATEXT(G2),""))))),"✗ ИЛИ функциясы керек",IF(NOT(AND(IFERROR(SUBSTITUTE(LOWER(G2&amp;""),"ё","е")=SUBSTITUTE(LOWER((OR(B2=5,D2="иә"))&amp;""),"ё","е"),FALSE),IFERROR(SUBSTITUTE(LOWER(G3&amp;""),"ё","е")=SUBSTITUTE(LOWER((OR(B3=5,D3="иә"))&amp;""),"ё","е"),FALSE),IFERROR(SUBSTITUTE(LOWER(G4&amp;""),"ё","е")=SUBSTITUTE(LOWER((OR(B4=5,D4="иә"))&amp;""),"ё","е"),FALSE),IFERROR(SUBSTITUTE(LOWER(G5&amp;""),"ё","е")=SUBSTITUTE(LOWER((OR(B5=5,D5="иә"))&amp;""),"ё","е"),FALSE),IFERROR(SUBSTITUTE(LOWER(G6&amp;""),"ё","е")=SUBSTITUTE(LOWER((OR(B6=5,D6="иә"))&amp;""),"ё","е"),FALSE))),"✗ жауап дұрыс емес — формула мен ауқымды тексер","✓ дұрыс"))))</f>
        <v/>
      </c>
    </row>
    <row r="5">
      <c r="A5" s="6" t="inlineStr">
        <is>
          <t>Арман</t>
        </is>
      </c>
      <c r="B5" s="6" t="n">
        <v>4.6</v>
      </c>
      <c r="C5" s="6" t="n">
        <v>12</v>
      </c>
      <c r="D5" s="6" t="inlineStr">
        <is>
          <t>жоқ</t>
        </is>
      </c>
      <c r="E5" s="4" t="n"/>
      <c r="F5" s="4" t="n"/>
      <c r="G5" s="4" t="n"/>
      <c r="H5" s="4" t="n"/>
      <c r="I5" s="4" t="n"/>
      <c r="K5" s="8" t="n">
        <v>4</v>
      </c>
      <c r="L5" s="8" t="inlineStr">
        <is>
          <t>НЕ</t>
        </is>
      </c>
      <c r="M5" s="8" t="inlineStr">
        <is>
          <t>Шәкіртақысы ЖОҚ студенттермен әңгіме өткізу керек. H2-ге — НЕ, төмен созып көшір. Тимурда не (H3)?</t>
        </is>
      </c>
      <c r="N5" s="8" t="inlineStr">
        <is>
          <t>H2 → H6 ұяшығына дейін созып көшір; жауап H3 ұяшығында</t>
        </is>
      </c>
      <c r="O5" s="9">
        <f>IF(ISBLANK(H2),"—",IF(OR(NOT(_xlfn.ISFORMULA(H2)),NOT(_xlfn.ISFORMULA(H3)),NOT(_xlfn.ISFORMULA(H4)),NOT(_xlfn.ISFORMULA(H5)),NOT(_xlfn.ISFORMULA(H6))),"✗ дайын жауап емес, формула керек (формуланы төмен созып көшір)",IF(NOT(OR(ISNUMBER(SEARCH("НЕ(",IFERROR(_xlfn.FORMULATEXT(H2),""))),ISNUMBER(SEARCH("NOT(",IFERROR(_xlfn.FORMULATEXT(H2),""))))),"✗ НЕ функциясы керек",IF(NOT(AND(IFERROR(SUBSTITUTE(LOWER(H2&amp;""),"ё","е")=SUBSTITUTE(LOWER((NOT(E2))&amp;""),"ё","е"),FALSE),IFERROR(SUBSTITUTE(LOWER(H3&amp;""),"ё","е")=SUBSTITUTE(LOWER((NOT(E3))&amp;""),"ё","е"),FALSE),IFERROR(SUBSTITUTE(LOWER(H4&amp;""),"ё","е")=SUBSTITUTE(LOWER((NOT(E4))&amp;""),"ё","е"),FALSE),IFERROR(SUBSTITUTE(LOWER(H5&amp;""),"ё","е")=SUBSTITUTE(LOWER((NOT(E5))&amp;""),"ё","е"),FALSE),IFERROR(SUBSTITUTE(LOWER(H6&amp;""),"ё","е")=SUBSTITUTE(LOWER((NOT(E6))&amp;""),"ё","е"),FALSE))),"✗ жауап дұрыс емес — формула мен ауқымды тексер","✓ дұрыс"))))</f>
        <v/>
      </c>
    </row>
    <row r="6">
      <c r="A6" s="6" t="inlineStr">
        <is>
          <t>Мадина</t>
        </is>
      </c>
      <c r="B6" s="6" t="n">
        <v>5</v>
      </c>
      <c r="C6" s="6" t="n">
        <v>1</v>
      </c>
      <c r="D6" s="6" t="inlineStr">
        <is>
          <t>жоқ</t>
        </is>
      </c>
      <c r="E6" s="4" t="n"/>
      <c r="F6" s="4" t="n"/>
      <c r="G6" s="4" t="n"/>
      <c r="H6" s="4" t="n"/>
      <c r="I6" s="4" t="n"/>
      <c r="K6" s="8" t="n">
        <v>5</v>
      </c>
      <c r="L6" s="8" t="inlineStr">
        <is>
          <t>ЕСЛИ ішінде ЕСЛИ</t>
        </is>
      </c>
      <c r="M6" s="8" t="inlineStr">
        <is>
          <t>Шәкіртақы мөлшері: жоғарылатылған — 60 000 тг, кәдімгі — 40 000 тг, шәкіртақы жоқ — 0. I2-ге — ЕСЛИ ішінде ЕСЛИ, созып көшір. Мадинада қанша (I6)?</t>
        </is>
      </c>
      <c r="N6" s="8" t="inlineStr">
        <is>
          <t>I2 → I6 ұяшығына дейін созып көшір; жауап I6 ұяшығында</t>
        </is>
      </c>
      <c r="O6" s="9">
        <f>IF(ISBLANK(I2),"—",IF(OR(NOT(_xlfn.ISFORMULA(I2)),NOT(_xlfn.ISFORMULA(I3)),NOT(_xlfn.ISFORMULA(I4)),NOT(_xlfn.ISFORMULA(I5)),NOT(_xlfn.ISFORMULA(I6))),"✗ дайын жауап емес, формула керек (формуланы төмен созып көшір)",IF(NOT(OR(ISNUMBER(SEARCH("ЕСЛИ(",IFERROR(_xlfn.FORMULATEXT(I2),""))),ISNUMBER(SEARCH("IF(",IFERROR(_xlfn.FORMULATEXT(I2),""))))),"✗ ЕСЛИ функциясы керек",IF(NOT(AND(IFERROR(ABS(I2-(IF(F2="иә",60000,IF(E2,40000,0))))&lt;=0.01*MAX(1,ABS(IF(F2="иә",60000,IF(E2,40000,0)))),FALSE),IFERROR(ABS(I3-(IF(F3="иә",60000,IF(E3,40000,0))))&lt;=0.01*MAX(1,ABS(IF(F3="иә",60000,IF(E3,40000,0)))),FALSE),IFERROR(ABS(I4-(IF(F4="иә",60000,IF(E4,40000,0))))&lt;=0.01*MAX(1,ABS(IF(F4="иә",60000,IF(E4,40000,0)))),FALSE),IFERROR(ABS(I5-(IF(F5="иә",60000,IF(E5,40000,0))))&lt;=0.01*MAX(1,ABS(IF(F5="иә",60000,IF(E5,40000,0)))),FALSE),IFERROR(ABS(I6-(IF(F6="иә",60000,IF(E6,40000,0))))&lt;=0.01*MAX(1,ABS(IF(F6="иә",60000,IF(E6,40000,0)))),FALSE))),"✗ жауап дұрыс емес — формула мен ауқымды тексер","✓ дұрыс"))))</f>
        <v/>
      </c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K7" s="8" t="n">
        <v>6</v>
      </c>
      <c r="L7" s="8" t="inlineStr">
        <is>
          <t>күрделі: барлығы</t>
        </is>
      </c>
      <c r="M7" s="8" t="inlineStr">
        <is>
          <t>Барлық шәкіртақыға қанша ақша керек? I2:I6-ны I8-ге қос.</t>
        </is>
      </c>
      <c r="N7" s="8" t="inlineStr">
        <is>
          <t>I8</t>
        </is>
      </c>
      <c r="O7" s="9">
        <f>IF(ISBLANK(I8),"—",IF(OR(NOT(_xlfn.ISFORMULA(I8))),"✗ дайын жауап емес, формула керек",IF(NOT(OR(ISNUMBER(SEARCH("СУММ(",IFERROR(_xlfn.FORMULATEXT(I8),""))),ISNUMBER(SEARCH("SUM(",IFERROR(_xlfn.FORMULATEXT(I8),""))))),"✗ СУММ функциясы керек",IF(NOT(AND(IFERROR(ABS(I8-(SUM(I2:I6)))&lt;=0.01*MAX(1,ABS(SUM(I2:I6))),FALSE))),"✗ жауап дұрыс емес — формула мен ауқымды тексер","✓ дұрыс"))))</f>
        <v/>
      </c>
    </row>
    <row r="8">
      <c r="A8" s="6" t="inlineStr">
        <is>
          <t>Барлығы</t>
        </is>
      </c>
      <c r="B8" s="6" t="n"/>
      <c r="C8" s="6" t="n"/>
      <c r="D8" s="6" t="n"/>
      <c r="E8" s="6" t="n"/>
      <c r="F8" s="6" t="n"/>
      <c r="G8" s="6" t="n"/>
      <c r="H8" s="6" t="n"/>
      <c r="I8" s="4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M9" s="10" t="inlineStr">
        <is>
          <t>Орындалған қадамдар:</t>
        </is>
      </c>
      <c r="O9" s="11">
        <f>COUNTIF(O2:O7,"✓*")&amp;" / 6"</f>
        <v/>
      </c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 password="DB05"/>
  <conditionalFormatting sqref="O2:O7">
    <cfRule type="expression" priority="1" dxfId="0">
      <formula>LEFT(O2,1)="✓"</formula>
    </cfRule>
    <cfRule type="expression" priority="2" dxfId="1">
      <formula>LEFT(O2,1)="✗"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6" customWidth="1" min="2" max="2"/>
    <col width="22" customWidth="1" min="3" max="3"/>
  </cols>
  <sheetData>
    <row r="1">
      <c r="A1" s="1" t="inlineStr">
        <is>
          <t>Өзін-өзі тексеру қорытындысы</t>
        </is>
      </c>
    </row>
    <row r="2">
      <c r="A2">
        <f>"Оқушы: "&amp;Басы!B4&amp;", "&amp;Басы!B3</f>
        <v/>
      </c>
    </row>
    <row r="4">
      <c r="A4" s="7" t="inlineStr">
        <is>
          <t>Сценарий</t>
        </is>
      </c>
      <c r="B4" s="7" t="inlineStr">
        <is>
          <t>Атауы</t>
        </is>
      </c>
      <c r="C4" s="7" t="inlineStr">
        <is>
          <t>Функциялар</t>
        </is>
      </c>
      <c r="D4" s="7" t="inlineStr">
        <is>
          <t>Дұрыс</t>
        </is>
      </c>
      <c r="E4" s="7" t="inlineStr">
        <is>
          <t>Барлығы</t>
        </is>
      </c>
    </row>
    <row r="5">
      <c r="A5" t="inlineStr">
        <is>
          <t>S1</t>
        </is>
      </c>
      <c r="B5" t="inlineStr">
        <is>
          <t>БЖБ журналы</t>
        </is>
      </c>
      <c r="C5" t="inlineStr">
        <is>
          <t>ЕСЛИ</t>
        </is>
      </c>
      <c r="D5">
        <f>COUNTIF(S1!O2:O7,"✓*")</f>
        <v/>
      </c>
      <c r="E5" t="n">
        <v>6</v>
      </c>
    </row>
    <row r="6">
      <c r="A6" t="inlineStr">
        <is>
          <t>S2</t>
        </is>
      </c>
      <c r="B6" t="inlineStr">
        <is>
          <t>Интернет-дүкен</t>
        </is>
      </c>
      <c r="C6" t="inlineStr">
        <is>
          <t>ЕСЛИ</t>
        </is>
      </c>
      <c r="D6">
        <f>COUNTIF(S2!O2:O7,"✓*")</f>
        <v/>
      </c>
      <c r="E6" t="n">
        <v>6</v>
      </c>
    </row>
    <row r="7">
      <c r="A7" t="inlineStr">
        <is>
          <t>S3</t>
        </is>
      </c>
      <c r="B7" t="inlineStr">
        <is>
          <t>Дене шынықтыру нормалары</t>
        </is>
      </c>
      <c r="C7" t="inlineStr">
        <is>
          <t>И</t>
        </is>
      </c>
      <c r="D7">
        <f>COUNTIF(S3!O2:O7,"✓*")</f>
        <v/>
      </c>
      <c r="E7" t="n">
        <v>6</v>
      </c>
    </row>
    <row r="8">
      <c r="A8" t="inlineStr">
        <is>
          <t>S4</t>
        </is>
      </c>
      <c r="B8" t="inlineStr">
        <is>
          <t>Кинотеатр</t>
        </is>
      </c>
      <c r="C8" t="inlineStr">
        <is>
          <t>ИЛИ</t>
        </is>
      </c>
      <c r="D8">
        <f>COUNTIF(S4!O2:O7,"✓*")</f>
        <v/>
      </c>
      <c r="E8" t="n">
        <v>6</v>
      </c>
    </row>
    <row r="9">
      <c r="A9" t="inlineStr">
        <is>
          <t>S5</t>
        </is>
      </c>
      <c r="B9" t="inlineStr">
        <is>
          <t>Шәкіртақы</t>
        </is>
      </c>
      <c r="C9" t="inlineStr">
        <is>
          <t>ЕСЛИ · И · ИЛИ · НЕ</t>
        </is>
      </c>
      <c r="D9">
        <f>COUNTIF(S5!O2:O7,"✓*")</f>
        <v/>
      </c>
      <c r="E9" t="n">
        <v>6</v>
      </c>
    </row>
    <row r="10">
      <c r="B10" s="10" t="inlineStr">
        <is>
          <t>Барлығы</t>
        </is>
      </c>
      <c r="D10" s="10">
        <f>SUM(D5:D9)</f>
        <v/>
      </c>
      <c r="E10" s="10">
        <f>SUM(E5:E9)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2026-10-24T17:31:31Z</dcterms:created>
  <dcterms:modified xmlns:dcterms="http://purl.org/dc/terms/" xmlns:xsi="http://www.w3.org/2001/XMLSchema-instance" xsi:type="dcterms:W3CDTF">2026-10-24T17:31:31Z</dcterms:modified>
</cp:coreProperties>
</file>