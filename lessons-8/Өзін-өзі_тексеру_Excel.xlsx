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сы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  <sheet xmlns:r="http://schemas.openxmlformats.org/officeDocument/2006/relationships" name="Қорытынд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D7652"/>
      </patternFill>
    </fill>
  </fills>
  <borders count="2">
    <border>
      <left/>
      <right/>
      <top/>
      <bottom/>
      <diagonal/>
    </border>
    <border>
      <bottom style="thin">
        <color rgb="00C9D3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5" fillId="3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applyProtection="1" pivotButton="0" quotePrefix="0" xfId="0">
      <alignment vertical="top" wrapText="1"/>
      <protection locked="1" hidden="1"/>
    </xf>
    <xf numFmtId="0" fontId="4" fillId="0" borderId="0" pivotButton="0" quotePrefix="0" xfId="0"/>
    <xf numFmtId="0" fontId="6" fillId="0" borderId="0" applyProtection="1" pivotButton="0" quotePrefix="0" xfId="0">
      <protection locked="1" hidden="1"/>
    </xf>
  </cellXfs>
  <cellStyles count="1">
    <cellStyle name="Normal" xfId="0" builtinId="0" hidden="0"/>
  </cellStyles>
  <dxfs count="2">
    <dxf>
      <fill>
        <patternFill patternType="solid">
          <fgColor rgb="00D9F2E3"/>
        </patternFill>
      </fill>
    </dxf>
    <dxf>
      <fill>
        <patternFill patternType="solid">
          <fgColor rgb="00FBE1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Өзін-өзі тексеру: Excel-дегі математикалық функциялар</t>
        </is>
      </c>
    </row>
    <row r="2">
      <c r="A2" s="2" t="inlineStr"/>
    </row>
    <row r="3">
      <c r="A3" s="3" t="inlineStr">
        <is>
          <t>Сынып:</t>
        </is>
      </c>
      <c r="B3" s="4" t="n"/>
    </row>
    <row r="4">
      <c r="A4" s="3" t="inlineStr">
        <is>
          <t>Тегі мен аты:</t>
        </is>
      </c>
      <c r="B4" s="4" t="n"/>
    </row>
    <row r="5">
      <c r="A5" s="2" t="inlineStr"/>
    </row>
    <row r="6">
      <c r="A6" s="3" t="inlineStr">
        <is>
          <t>Қалай жұмыс істеу керек</t>
        </is>
      </c>
    </row>
    <row r="7">
      <c r="A7" s="2" t="inlineStr">
        <is>
          <t>1. Сценарий парағын аш (S1–S6). Деректері бар кесте дайын.</t>
        </is>
      </c>
    </row>
    <row r="8">
      <c r="A8" s="2" t="inlineStr">
        <is>
          <t>2. Оң жақта — қадамдар. Формуланы қадамда көрсетілген сары ұяшыққа жаз.</t>
        </is>
      </c>
    </row>
    <row r="9">
      <c r="A9" s="2" t="inlineStr">
        <is>
          <t>3. «Тексеру» бағанында Excel бірден көрсетеді: ✓ дұрыс — немесе нені түзету керек.</t>
        </is>
      </c>
    </row>
    <row r="10">
      <c r="A10" s="2" t="inlineStr">
        <is>
          <t>4. «Өзгерт…» деген қадамдарда кестедегі санды өзгерт, формулаға тиме.</t>
        </is>
      </c>
    </row>
    <row r="11">
      <c r="A11" s="2" t="inlineStr">
        <is>
          <t>5. Жалпы есеп — «Қорытынды» парағында.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10" max="10"/>
    <col width="20" customWidth="1" min="11" max="11"/>
    <col width="60" customWidth="1" min="12" max="12"/>
    <col width="16" customWidth="1" min="13" max="13"/>
    <col width="34" customWidth="1" min="14" max="14"/>
  </cols>
  <sheetData>
    <row r="1">
      <c r="A1" s="5" t="inlineStr">
        <is>
          <t>Тауар</t>
        </is>
      </c>
      <c r="B1" s="5" t="inlineStr">
        <is>
          <t>1-дүкен</t>
        </is>
      </c>
      <c r="C1" s="5" t="inlineStr">
        <is>
          <t>2-дүкен</t>
        </is>
      </c>
      <c r="D1" s="6" t="n"/>
      <c r="E1" s="6" t="n"/>
      <c r="F1" s="6" t="n"/>
      <c r="G1" s="6" t="n"/>
      <c r="H1" s="6" t="n"/>
      <c r="J1" s="7" t="inlineStr">
        <is>
          <t>№</t>
        </is>
      </c>
      <c r="K1" s="7" t="inlineStr">
        <is>
          <t>Қадам түрі</t>
        </is>
      </c>
      <c r="L1" s="7" t="inlineStr">
        <is>
          <t>Тапсырма</t>
        </is>
      </c>
      <c r="M1" s="7" t="inlineStr">
        <is>
          <t>Ұяшық</t>
        </is>
      </c>
      <c r="N1" s="7" t="inlineStr">
        <is>
          <t>Тексеру</t>
        </is>
      </c>
    </row>
    <row r="2">
      <c r="A2" s="6" t="inlineStr">
        <is>
          <t>Дәптер</t>
        </is>
      </c>
      <c r="B2" s="6" t="n">
        <v>150</v>
      </c>
      <c r="C2" s="6" t="n">
        <v>140</v>
      </c>
      <c r="D2" s="6" t="n"/>
      <c r="E2" s="4" t="n"/>
      <c r="F2" s="6" t="n"/>
      <c r="G2" s="6" t="n"/>
      <c r="H2" s="6" t="n"/>
      <c r="J2" s="8" t="n">
        <v>1</v>
      </c>
      <c r="K2" s="8" t="inlineStr">
        <is>
          <t>ауқым</t>
        </is>
      </c>
      <c r="L2" s="8" t="inlineStr">
        <is>
          <t>1-дүкендегі барлық тауар қанша тұрады?</t>
        </is>
      </c>
      <c r="M2" s="8" t="inlineStr">
        <is>
          <t>B8</t>
        </is>
      </c>
      <c r="N2" s="9">
        <f>IF(ISBLANK(B8),"—",IF( OR(NOT(_xlfn.ISFORMULA(B8))),"✗ сан емес, формула керек",IF(NOT(OR(ISNUMBER(SEARCH("СУММ(",IFERROR(_xlfn.FORMULATEXT(B8),""))),ISNUMBER(SEARCH("SUM(",IFERROR(_xlfn.FORMULATEXT(B8),""))))),"✗ СУММ функциясы керек",IF(NOT(AND(IFERROR(ABS(B8-(SUM(B2:B7)))&lt;=0.01*MAX(1,ABS(SUM(B2:B7))),FALSE))),"✗ жауап дұрыс емес — формуланы тексер",IF((LEN(IFERROR(_xlfn.FORMULATEXT(B8),""))-LEN(SUBSTITUTE(IFERROR(_xlfn.FORMULATEXT(B8),""),":","")))&lt;1,"✗ жауап дұрыс, бірақ «:» арқылы ауқым қолдан","✓ дұрыс")))))</f>
        <v/>
      </c>
    </row>
    <row r="3">
      <c r="A3" s="6" t="inlineStr">
        <is>
          <t>Қалам</t>
        </is>
      </c>
      <c r="B3" s="6" t="n">
        <v>120</v>
      </c>
      <c r="C3" s="6" t="n">
        <v>130</v>
      </c>
      <c r="D3" s="6" t="n"/>
      <c r="E3" s="4" t="n"/>
      <c r="F3" s="6" t="n"/>
      <c r="G3" s="6" t="n"/>
      <c r="H3" s="6" t="n"/>
      <c r="J3" s="8" t="n">
        <v>2</v>
      </c>
      <c r="K3" s="8" t="inlineStr">
        <is>
          <t>Σ батырмасы</t>
        </is>
      </c>
      <c r="L3" s="8" t="inlineStr">
        <is>
          <t>2-дүкеннің жиынын «Басты» қойындысындағы Σ «Автоқосынды» батырмасымен есепте: C8-ді белгіле, Σ бас, сандарды қоршаған жиекті тексеріп, Enter бас.</t>
        </is>
      </c>
      <c r="M3" s="8" t="inlineStr">
        <is>
          <t>C8</t>
        </is>
      </c>
      <c r="N3" s="9">
        <f>IF(ISBLANK(C8),"—",IF( OR(NOT(_xlfn.ISFORMULA(C8))),"✗ сан емес, формула керек",IF(NOT(OR(ISNUMBER(SEARCH("СУММ(",IFERROR(_xlfn.FORMULATEXT(C8),""))),ISNUMBER(SEARCH("SUM(",IFERROR(_xlfn.FORMULATEXT(C8),""))))),"✗ СУММ функциясы керек",IF(NOT(AND(IFERROR(ABS(C8-(SUM(C2:C7)))&lt;=0.01*MAX(1,ABS(SUM(C2:C7))),FALSE))),"✗ жауап дұрыс емес — формуланы тексер","✓ дұрыс"))))</f>
        <v/>
      </c>
    </row>
    <row r="4">
      <c r="A4" s="6" t="inlineStr">
        <is>
          <t>Қарындаш</t>
        </is>
      </c>
      <c r="B4" s="6" t="n">
        <v>80</v>
      </c>
      <c r="C4" s="6" t="n">
        <v>70</v>
      </c>
      <c r="D4" s="6" t="n"/>
      <c r="E4" s="4" t="n"/>
      <c r="F4" s="6" t="n"/>
      <c r="G4" s="6" t="n"/>
      <c r="H4" s="6" t="n"/>
      <c r="J4" s="8" t="n">
        <v>3</v>
      </c>
      <c r="K4" s="8" t="inlineStr">
        <is>
          <t>жеке ұяшықтар</t>
        </is>
      </c>
      <c r="L4" s="8" t="inlineStr">
        <is>
          <t>1-дүкеннен дәптер, қалам және өшіргіш сатып алды. Қанша төледі? Ұяшықтарды «;» арқылы тізіп жаз — немесе Ctrl басып тұрып, оларды шерт.</t>
        </is>
      </c>
      <c r="M4" s="8" t="inlineStr">
        <is>
          <t>E2</t>
        </is>
      </c>
      <c r="N4" s="9">
        <f>IF(ISBLANK(E2),"—",IF( OR(NOT(_xlfn.ISFORMULA(E2))),"✗ сан емес, формула керек",IF(NOT(OR(ISNUMBER(SEARCH("СУММ(",IFERROR(_xlfn.FORMULATEXT(E2),""))),ISNUMBER(SEARCH("SUM(",IFERROR(_xlfn.FORMULATEXT(E2),""))))),"✗ СУММ функциясы керек",IF(NOT(AND(IFERROR(ABS(E2-(B2+B3+B6))&lt;=0.01*MAX(1,ABS(B2+B3+B6)),FALSE))),"✗ жауап дұрыс емес — формуланы тексер",IF((LEN(IFERROR(_xlfn.FORMULATEXT(E2),""))-LEN(SUBSTITUTE(IFERROR(_xlfn.FORMULATEXT(E2),""),":","")))&gt;0,"✗ жауап дұрыс, бірақ ұяшықтарды ауқымсыз, «;» арқылы тізіп жаз","✓ дұрыс")))))</f>
        <v/>
      </c>
    </row>
    <row r="5">
      <c r="A5" s="6" t="inlineStr">
        <is>
          <t>Сызғыш</t>
        </is>
      </c>
      <c r="B5" s="6" t="n">
        <v>200</v>
      </c>
      <c r="C5" s="6" t="n">
        <v>220</v>
      </c>
      <c r="D5" s="6" t="n"/>
      <c r="E5" s="4" t="n"/>
      <c r="F5" s="6" t="n"/>
      <c r="G5" s="6" t="n"/>
      <c r="H5" s="6" t="n"/>
      <c r="J5" s="8" t="n">
        <v>4</v>
      </c>
      <c r="K5" s="8" t="inlineStr">
        <is>
          <t>ұяшықтар + сан</t>
        </is>
      </c>
      <c r="L5" s="8" t="inlineStr">
        <is>
          <t>1-дүкендегі дәптер мен қалам және 500 тг жеткізу. Барлығы қанша?</t>
        </is>
      </c>
      <c r="M5" s="8" t="inlineStr">
        <is>
          <t>E3</t>
        </is>
      </c>
      <c r="N5" s="9">
        <f>IF(ISBLANK(E3),"—",IF( OR(NOT(_xlfn.ISFORMULA(E3))),"✗ сан емес, формула керек",IF(NOT(OR(ISNUMBER(SEARCH("СУММ(",IFERROR(_xlfn.FORMULATEXT(E3),""))),ISNUMBER(SEARCH("SUM(",IFERROR(_xlfn.FORMULATEXT(E3),""))))),"✗ СУММ функциясы керек",IF(NOT(AND(IFERROR(ABS(E3-(B2+B3+500))&lt;=0.01*MAX(1,ABS(B2+B3+500)),FALSE))),"✗ жауап дұрыс емес — формуланы тексер",IF(ISERROR(SEARCH("500",IFERROR(_xlfn.FORMULATEXT(E3),""))),"✗ жауап дұрыс, бірақ қадамда сұралғандай жаз","✓ дұрыс")))))</f>
        <v/>
      </c>
    </row>
    <row r="6">
      <c r="A6" s="6" t="inlineStr">
        <is>
          <t>Өшіргіш</t>
        </is>
      </c>
      <c r="B6" s="6" t="n">
        <v>60</v>
      </c>
      <c r="C6" s="6" t="n">
        <v>50</v>
      </c>
      <c r="D6" s="6" t="n"/>
      <c r="E6" s="4" t="n"/>
      <c r="F6" s="6" t="n"/>
      <c r="G6" s="6" t="n"/>
      <c r="H6" s="6" t="n"/>
      <c r="J6" s="8" t="n">
        <v>5</v>
      </c>
      <c r="K6" s="8" t="inlineStr">
        <is>
          <t>ауқым + ұяшық</t>
        </is>
      </c>
      <c r="L6" s="8" t="inlineStr">
        <is>
          <t>Алғашқы үш тауар (дәптер, қалам, қарындаш) және 1-дүкендегі қаламсауыт.</t>
        </is>
      </c>
      <c r="M6" s="8" t="inlineStr">
        <is>
          <t>E4</t>
        </is>
      </c>
      <c r="N6" s="9">
        <f>IF(ISBLANK(E4),"—",IF( OR(NOT(_xlfn.ISFORMULA(E4))),"✗ сан емес, формула керек",IF(NOT(OR(ISNUMBER(SEARCH("СУММ(",IFERROR(_xlfn.FORMULATEXT(E4),""))),ISNUMBER(SEARCH("SUM(",IFERROR(_xlfn.FORMULATEXT(E4),""))))),"✗ СУММ функциясы керек",IF(NOT(AND(IFERROR(ABS(E4-(SUM(B2:B4)+B7))&lt;=0.01*MAX(1,ABS(SUM(B2:B4)+B7)),FALSE))),"✗ жауап дұрыс емес — формуланы тексер",IF((LEN(IFERROR(_xlfn.FORMULATEXT(E4),""))-LEN(SUBSTITUTE(IFERROR(_xlfn.FORMULATEXT(E4),""),":","")))&lt;&gt;1,"✗ жауап дұрыс, бірақ бір ауқыммен жаз",IF(ISERROR(SEARCH("B7",IFERROR(_xlfn.FORMULATEXT(E4),""))),"✗ жауап дұрыс, бірақ қадамда сұралғандай жаз","✓ дұрыс"))))))</f>
        <v/>
      </c>
    </row>
    <row r="7">
      <c r="A7" s="6" t="inlineStr">
        <is>
          <t>Қаламсауыт</t>
        </is>
      </c>
      <c r="B7" s="6" t="n">
        <v>1500</v>
      </c>
      <c r="C7" s="6" t="n">
        <v>1400</v>
      </c>
      <c r="D7" s="6" t="n"/>
      <c r="E7" s="6" t="n"/>
      <c r="F7" s="6" t="n"/>
      <c r="G7" s="6" t="n"/>
      <c r="H7" s="6" t="n"/>
      <c r="J7" s="8" t="n">
        <v>6</v>
      </c>
      <c r="K7" s="8" t="inlineStr">
        <is>
          <t>екі ауқым</t>
        </is>
      </c>
      <c r="L7" s="8" t="inlineStr">
        <is>
          <t>Екі дүкендегі барлық тауар бірге қанша тұрады? Бір формула, «;» арқылы екі ауқым.</t>
        </is>
      </c>
      <c r="M7" s="8" t="inlineStr">
        <is>
          <t>E5</t>
        </is>
      </c>
      <c r="N7" s="9">
        <f>IF(ISBLANK(E5),"—",IF( OR(NOT(_xlfn.ISFORMULA(E5))),"✗ сан емес, формула керек",IF(NOT(OR(ISNUMBER(SEARCH("СУММ(",IFERROR(_xlfn.FORMULATEXT(E5),""))),ISNUMBER(SEARCH("SUM(",IFERROR(_xlfn.FORMULATEXT(E5),""))))),"✗ СУММ функциясы керек",IF(NOT(AND(IFERROR(ABS(E5-(SUM(B2:B7)+SUM(C2:C7)))&lt;=0.01*MAX(1,ABS(SUM(B2:B7)+SUM(C2:C7))),FALSE))),"✗ жауап дұрыс емес — формуланы тексер",IF((LEN(IFERROR(_xlfn.FORMULATEXT(E5),""))-LEN(SUBSTITUTE(IFERROR(_xlfn.FORMULATEXT(E5),""),":","")))&lt;&gt;2,"✗ жауап дұрыс, бірақ «;» арқылы екі ауқым керек","✓ дұрыс")))))</f>
        <v/>
      </c>
    </row>
    <row r="8">
      <c r="A8" s="6" t="inlineStr">
        <is>
          <t>Жиыны</t>
        </is>
      </c>
      <c r="B8" s="4" t="n"/>
      <c r="C8" s="4" t="n"/>
      <c r="D8" s="6" t="n"/>
      <c r="E8" s="6" t="n"/>
      <c r="F8" s="6" t="n"/>
      <c r="G8" s="6" t="n"/>
      <c r="H8" s="6" t="n"/>
      <c r="J8" s="8" t="n">
        <v>7</v>
      </c>
      <c r="K8" s="8" t="inlineStr">
        <is>
          <t>тіктөртбұрыш</t>
        </is>
      </c>
      <c r="L8" s="8" t="inlineStr">
        <is>
          <t>Дәл соны тіктөртбұрыш-ауқыммен: сол жақ жоғарғы бағадан оң жақ төменгі бағаға дейін. E5-пен салыстыр.</t>
        </is>
      </c>
      <c r="M8" s="8" t="inlineStr">
        <is>
          <t>E6</t>
        </is>
      </c>
      <c r="N8" s="9">
        <f>IF(ISBLANK(E6),"—",IF( OR(NOT(_xlfn.ISFORMULA(E6))),"✗ сан емес, формула керек",IF(NOT(OR(ISNUMBER(SEARCH("СУММ(",IFERROR(_xlfn.FORMULATEXT(E6),""))),ISNUMBER(SEARCH("SUM(",IFERROR(_xlfn.FORMULATEXT(E6),""))))),"✗ СУММ функциясы керек",IF(NOT(AND(IFERROR(ABS(E6-(SUM(B2:C7)))&lt;=0.01*MAX(1,ABS(SUM(B2:C7))),FALSE))),"✗ жауап дұрыс емес — формуланы тексер",IF((LEN(IFERROR(_xlfn.FORMULATEXT(E6),""))-LEN(SUBSTITUTE(IFERROR(_xlfn.FORMULATEXT(E6),""),":","")))&lt;&gt;1,"✗ жауап дұрыс, бірақ бір ауқыммен жаз","✓ дұрыс")))))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J9" s="8" t="n">
        <v>8</v>
      </c>
      <c r="K9" s="8" t="inlineStr">
        <is>
          <t>күрделі: автоқайта есептеу</t>
        </is>
      </c>
      <c r="L9" s="8" t="inlineStr">
        <is>
          <t>1-дүкендегі қаламсауыт 1200-ге дейін арзандады. B7-дегі санды өзгерт, формулаға тиме. Енді B8-де қандай сан тұр?</t>
        </is>
      </c>
      <c r="M9" s="8" t="inlineStr">
        <is>
          <t>B8</t>
        </is>
      </c>
      <c r="N9" s="9">
        <f>IF(ISBLANK(B8),"—",IF(NOT(B7=1200),"✗ алдымен B7 мәнін 1200 деп өзгерт",IF( OR(NOT(_xlfn.ISFORMULA(B8))),"✗ сан емес, формула керек",IF(NOT(OR(ISNUMBER(SEARCH("СУММ(",IFERROR(_xlfn.FORMULATEXT(B8),""))),ISNUMBER(SEARCH("SUM(",IFERROR(_xlfn.FORMULATEXT(B8),""))))),"✗ СУММ функциясы керек",IF(NOT(AND(IFERROR(ABS(B8-(SUM(B2:B7)))&lt;=0.01*MAX(1,ABS(SUM(B2:B7))),FALSE))),"✗ жауап дұрыс емес — формуланы тексер","✓ дұрыс")))))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L11" s="10" t="inlineStr">
        <is>
          <t>Орындалған қадамдар:</t>
        </is>
      </c>
      <c r="N11" s="11">
        <f>COUNTIF(N2:N9,"✓*")&amp;" / 8"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N2:N9">
    <cfRule type="expression" priority="1" dxfId="0">
      <formula>LEFT(N2,1)="✓"</formula>
    </cfRule>
    <cfRule type="expression" priority="2" dxfId="1">
      <formula>LEFT(N2,1)="✗"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10" max="10"/>
    <col width="20" customWidth="1" min="11" max="11"/>
    <col width="60" customWidth="1" min="12" max="12"/>
    <col width="16" customWidth="1" min="13" max="13"/>
    <col width="34" customWidth="1" min="14" max="14"/>
  </cols>
  <sheetData>
    <row r="1">
      <c r="A1" s="5" t="inlineStr">
        <is>
          <t>Күн</t>
        </is>
      </c>
      <c r="B1" s="5" t="inlineStr">
        <is>
          <t>Таңғы</t>
        </is>
      </c>
      <c r="C1" s="5" t="inlineStr">
        <is>
          <t>Кешкі</t>
        </is>
      </c>
      <c r="D1" s="5" t="inlineStr">
        <is>
          <t>Өзгеріс</t>
        </is>
      </c>
      <c r="E1" s="5" t="inlineStr">
        <is>
          <t>ABS-сіз</t>
        </is>
      </c>
      <c r="F1" s="6" t="n"/>
      <c r="G1" s="6" t="n"/>
      <c r="H1" s="6" t="n"/>
      <c r="J1" s="7" t="inlineStr">
        <is>
          <t>№</t>
        </is>
      </c>
      <c r="K1" s="7" t="inlineStr">
        <is>
          <t>Қадам түрі</t>
        </is>
      </c>
      <c r="L1" s="7" t="inlineStr">
        <is>
          <t>Тапсырма</t>
        </is>
      </c>
      <c r="M1" s="7" t="inlineStr">
        <is>
          <t>Ұяшық</t>
        </is>
      </c>
      <c r="N1" s="7" t="inlineStr">
        <is>
          <t>Тексеру</t>
        </is>
      </c>
    </row>
    <row r="2">
      <c r="A2" s="6" t="inlineStr">
        <is>
          <t>Дс</t>
        </is>
      </c>
      <c r="B2" s="6" t="n">
        <v>-3</v>
      </c>
      <c r="C2" s="6" t="n">
        <v>4</v>
      </c>
      <c r="D2" s="4" t="n"/>
      <c r="E2" s="4" t="n"/>
      <c r="F2" s="6" t="n"/>
      <c r="G2" s="4" t="n"/>
      <c r="H2" s="6" t="n"/>
      <c r="J2" s="8" t="n">
        <v>1</v>
      </c>
      <c r="K2" s="8" t="inlineStr">
        <is>
          <t>санның модулі</t>
        </is>
      </c>
      <c r="L2" s="8" t="inlineStr">
        <is>
          <t>G2-ге −12 санының модулі бар формуланы тер. Не шықты?</t>
        </is>
      </c>
      <c r="M2" s="8" t="inlineStr">
        <is>
          <t>G2</t>
        </is>
      </c>
      <c r="N2" s="9">
        <f>IF(ISBLANK(G2),"—",IF( OR(NOT(_xlfn.ISFORMULA(G2))),"✗ сан емес, формула керек",IF(NOT(OR(ISNUMBER(SEARCH("ABS(",IFERROR(_xlfn.FORMULATEXT(G2),""))),ISNUMBER(SEARCH("ABS(",IFERROR(_xlfn.FORMULATEXT(G2),""))))),"✗ ABS функциясы керек",IF(NOT(AND(IFERROR(ABS(G2-(12))&lt;=0.01*MAX(1,ABS(12)),FALSE))),"✗ жауап дұрыс емес — формуланы тексер","✓ дұрыс"))))</f>
        <v/>
      </c>
    </row>
    <row r="3">
      <c r="A3" s="6" t="inlineStr">
        <is>
          <t>Сс</t>
        </is>
      </c>
      <c r="B3" s="6" t="n">
        <v>2</v>
      </c>
      <c r="C3" s="6" t="n">
        <v>-2</v>
      </c>
      <c r="D3" s="4" t="n"/>
      <c r="E3" s="4" t="n"/>
      <c r="F3" s="6" t="n"/>
      <c r="G3" s="4" t="n"/>
      <c r="H3" s="6" t="n"/>
      <c r="J3" s="8" t="n">
        <v>2</v>
      </c>
      <c r="K3" s="8" t="inlineStr">
        <is>
          <t>ұяшықтың модулі</t>
        </is>
      </c>
      <c r="L3" s="8" t="inlineStr">
        <is>
          <t>Дүйсенбідегі таңғы температураның модулін тап.</t>
        </is>
      </c>
      <c r="M3" s="8" t="inlineStr">
        <is>
          <t>G3</t>
        </is>
      </c>
      <c r="N3" s="9">
        <f>IF(ISBLANK(G3),"—",IF( OR(NOT(_xlfn.ISFORMULA(G3))),"✗ сан емес, формула керек",IF(NOT(OR(ISNUMBER(SEARCH("ABS(",IFERROR(_xlfn.FORMULATEXT(G3),""))),ISNUMBER(SEARCH("ABS(",IFERROR(_xlfn.FORMULATEXT(G3),""))))),"✗ ABS функциясы керек",IF(NOT(AND(IFERROR(ABS(G3-(ABS(B2)))&lt;=0.01*MAX(1,ABS(ABS(B2))),FALSE))),"✗ жауап дұрыс емес — формуланы тексер","✓ дұрыс"))))</f>
        <v/>
      </c>
    </row>
    <row r="4">
      <c r="A4" s="6" t="inlineStr">
        <is>
          <t>Ср</t>
        </is>
      </c>
      <c r="B4" s="6" t="n">
        <v>-6</v>
      </c>
      <c r="C4" s="6" t="n">
        <v>-1</v>
      </c>
      <c r="D4" s="4" t="n"/>
      <c r="E4" s="4" t="n"/>
      <c r="F4" s="6" t="n"/>
      <c r="G4" s="4" t="n"/>
      <c r="H4" s="6" t="n"/>
      <c r="J4" s="8" t="n">
        <v>3</v>
      </c>
      <c r="K4" s="8" t="inlineStr">
        <is>
          <t>ABS-сіз айырма</t>
        </is>
      </c>
      <c r="L4" s="8" t="inlineStr">
        <is>
          <t>E2-ге «кешкі минус таңғы» айырмасын ABS-сіз жаз да, формуланы ұяшық бұрышындағы кішкентай шаршыдан тартып, E8-ге дейін созып көшір. Сейсенбіде не шықты (E3)?</t>
        </is>
      </c>
      <c r="M4" s="8" t="inlineStr">
        <is>
          <t>E2 → төмен созып көшір; жауап E3 ұяшығында</t>
        </is>
      </c>
      <c r="N4" s="9">
        <f>IF(ISBLANK(E3),"—",IF( OR(NOT(_xlfn.ISFORMULA(E3)),NOT(_xlfn.ISFORMULA(E8))),"✗ сан емес, формула керек (формуланы төмен созып көшір)",IF(OR(ISNUMBER(SEARCH("ABS(",IFERROR(_xlfn.FORMULATEXT(E3),""))),ISNUMBER(SEARCH("ABS(",IFERROR(_xlfn.FORMULATEXT(E3),"")))),"✗ мұнда ABS функциясынсыз жаз",IF(NOT(AND(IFERROR(ABS(E3-(C3-B3))&lt;=0.01*MAX(1,ABS(C3-B3)),FALSE),IFERROR(ABS(E8-(C8-B8))&lt;=0.01*MAX(1,ABS(C8-B8)),FALSE))),"✗ жауап дұрыс емес — формуланы тексер","✓ дұрыс"))))</f>
        <v/>
      </c>
    </row>
    <row r="5">
      <c r="A5" s="6" t="inlineStr">
        <is>
          <t>Бс</t>
        </is>
      </c>
      <c r="B5" s="6" t="n">
        <v>0</v>
      </c>
      <c r="C5" s="6" t="n">
        <v>3</v>
      </c>
      <c r="D5" s="4" t="n"/>
      <c r="E5" s="4" t="n"/>
      <c r="F5" s="6" t="n"/>
      <c r="G5" s="4" t="n"/>
      <c r="H5" s="6" t="n"/>
      <c r="J5" s="8" t="n">
        <v>4</v>
      </c>
      <c r="K5" s="8" t="inlineStr">
        <is>
          <t>Айырманың ABS-і</t>
        </is>
      </c>
      <c r="L5" s="8" t="inlineStr">
        <is>
          <t>D2-ге температураның өзгерісін минуссыз жаз да, D8-ге дейін созып көшір. Сейсенбіде не (D3)?</t>
        </is>
      </c>
      <c r="M5" s="8" t="inlineStr">
        <is>
          <t>D2 → төмен созып көшір; жауап D3 ұяшығында</t>
        </is>
      </c>
      <c r="N5" s="9">
        <f>IF(ISBLANK(D3),"—",IF( OR(NOT(_xlfn.ISFORMULA(D3)),NOT(_xlfn.ISFORMULA(D8))),"✗ сан емес, формула керек (формуланы төмен созып көшір)",IF(NOT(OR(ISNUMBER(SEARCH("ABS(",IFERROR(_xlfn.FORMULATEXT(D3),""))),ISNUMBER(SEARCH("ABS(",IFERROR(_xlfn.FORMULATEXT(D3),""))))),"✗ ABS функциясы керек",IF(NOT(AND(IFERROR(ABS(D3-(ABS(C3-B3)))&lt;=0.01*MAX(1,ABS(ABS(C3-B3))),FALSE),IFERROR(ABS(D8-(ABS(C8-B8)))&lt;=0.01*MAX(1,ABS(ABS(C8-B8))),FALSE))),"✗ жауап дұрыс емес — формуланы тексер","✓ дұрыс"))))</f>
        <v/>
      </c>
    </row>
    <row r="6">
      <c r="A6" s="6" t="inlineStr">
        <is>
          <t>Жм</t>
        </is>
      </c>
      <c r="B6" s="6" t="n">
        <v>4</v>
      </c>
      <c r="C6" s="6" t="n">
        <v>8</v>
      </c>
      <c r="D6" s="4" t="n"/>
      <c r="E6" s="4" t="n"/>
      <c r="F6" s="6" t="n"/>
      <c r="G6" s="4" t="n"/>
      <c r="H6" s="6" t="n"/>
      <c r="J6" s="8" t="n">
        <v>5</v>
      </c>
      <c r="K6" s="8" t="inlineStr">
        <is>
          <t>созып көшіруді тексеру</t>
        </is>
      </c>
      <c r="L6" s="8" t="inlineStr">
        <is>
          <t>Сәрсенбіде қандай өзгеріс шықты (D4)? D4-ті басып, формулада қай ұяшықтар тұрғанын қара.</t>
        </is>
      </c>
      <c r="M6" s="8" t="inlineStr">
        <is>
          <t>D4</t>
        </is>
      </c>
      <c r="N6" s="9">
        <f>IF(ISBLANK(D4),"—",IF( OR(NOT(_xlfn.ISFORMULA(D4))),"✗ сан емес, формула керек",IF(NOT(OR(ISNUMBER(SEARCH("ABS(",IFERROR(_xlfn.FORMULATEXT(D4),""))),ISNUMBER(SEARCH("ABS(",IFERROR(_xlfn.FORMULATEXT(D4),""))))),"✗ ABS функциясы керек",IF(NOT(AND(IFERROR(ABS(D4-(ABS(C4-B4)))&lt;=0.01*MAX(1,ABS(ABS(C4-B4))),FALSE))),"✗ жауап дұрыс емес — формуланы тексер","✓ дұрыс"))))</f>
        <v/>
      </c>
    </row>
    <row r="7">
      <c r="A7" s="6" t="inlineStr">
        <is>
          <t>Сн</t>
        </is>
      </c>
      <c r="B7" s="6" t="n">
        <v>-1</v>
      </c>
      <c r="C7" s="6" t="n">
        <v>-5</v>
      </c>
      <c r="D7" s="4" t="n"/>
      <c r="E7" s="4" t="n"/>
      <c r="F7" s="6" t="n"/>
      <c r="G7" s="6" t="n"/>
      <c r="H7" s="6" t="n"/>
      <c r="J7" s="8" t="n">
        <v>6</v>
      </c>
      <c r="K7" s="8" t="inlineStr">
        <is>
          <t>күрделі: СУММ + ABS</t>
        </is>
      </c>
      <c r="L7" s="8" t="inlineStr">
        <is>
          <t>Температура аптада барлығы қанша градусқа өзгерді? D бағанын қос.</t>
        </is>
      </c>
      <c r="M7" s="8" t="inlineStr">
        <is>
          <t>G4</t>
        </is>
      </c>
      <c r="N7" s="9">
        <f>IF(ISBLANK(G4),"—",IF( OR(NOT(_xlfn.ISFORMULA(G4))),"✗ сан емес, формула керек",IF(NOT(OR(ISNUMBER(SEARCH("СУММ(",IFERROR(_xlfn.FORMULATEXT(G4),""))),ISNUMBER(SEARCH("SUM(",IFERROR(_xlfn.FORMULATEXT(G4),""))))),"✗ СУММ функциясы керек",IF(NOT(AND(IFERROR(ABS(G4-(SUMPRODUCT(ABS(C2:C8-B2:B8))))&lt;=0.01*MAX(1,ABS(SUMPRODUCT(ABS(C2:C8-B2:B8)))),FALSE))),"✗ жауап дұрыс емес — формуланы тексер","✓ дұрыс"))))</f>
        <v/>
      </c>
    </row>
    <row r="8">
      <c r="A8" s="6" t="inlineStr">
        <is>
          <t>Жс</t>
        </is>
      </c>
      <c r="B8" s="6" t="n">
        <v>5</v>
      </c>
      <c r="C8" s="6" t="n">
        <v>9</v>
      </c>
      <c r="D8" s="4" t="n"/>
      <c r="E8" s="4" t="n"/>
      <c r="F8" s="6" t="n"/>
      <c r="G8" s="6" t="n"/>
      <c r="H8" s="6" t="n"/>
      <c r="J8" s="8" t="n">
        <v>7</v>
      </c>
      <c r="K8" s="8" t="inlineStr">
        <is>
          <t>күрделі: салыстыру</t>
        </is>
      </c>
      <c r="L8" s="8" t="inlineStr">
        <is>
          <t>Енді E бағанын қос (ABS-сіз). Неге G4-тегіден аз шықты?</t>
        </is>
      </c>
      <c r="M8" s="8" t="inlineStr">
        <is>
          <t>G5</t>
        </is>
      </c>
      <c r="N8" s="9">
        <f>IF(ISBLANK(G5),"—",IF( OR(NOT(_xlfn.ISFORMULA(G5))),"✗ сан емес, формула керек",IF(NOT(OR(ISNUMBER(SEARCH("СУММ(",IFERROR(_xlfn.FORMULATEXT(G5),""))),ISNUMBER(SEARCH("SUM(",IFERROR(_xlfn.FORMULATEXT(G5),""))))),"✗ СУММ функциясы керек",IF(NOT(AND(IFERROR(ABS(G5-(SUM(C2:C8)-SUM(B2:B8)))&lt;=0.01*MAX(1,ABS(SUM(C2:C8)-SUM(B2:B8))),FALSE))),"✗ жауап дұрыс емес — формуланы тексер","✓ дұрыс"))))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J9" s="8" t="n">
        <v>8</v>
      </c>
      <c r="K9" s="8" t="inlineStr">
        <is>
          <t>күрделі: бір формула</t>
        </is>
      </c>
      <c r="L9" s="8" t="inlineStr">
        <is>
          <t>Жексенбі таңы дүйсенбі таңынан қанша градусқа өзгеше? ABS арқылы бір формуламен.</t>
        </is>
      </c>
      <c r="M9" s="8" t="inlineStr">
        <is>
          <t>G6</t>
        </is>
      </c>
      <c r="N9" s="9">
        <f>IF(ISBLANK(G6),"—",IF( OR(NOT(_xlfn.ISFORMULA(G6))),"✗ сан емес, формула керек",IF(NOT(OR(ISNUMBER(SEARCH("ABS(",IFERROR(_xlfn.FORMULATEXT(G6),""))),ISNUMBER(SEARCH("ABS(",IFERROR(_xlfn.FORMULATEXT(G6),""))))),"✗ ABS функциясы керек",IF(NOT(AND(IFERROR(ABS(G6-(ABS(B8-B2)))&lt;=0.01*MAX(1,ABS(ABS(B8-B2))),FALSE))),"✗ жауап дұрыс емес — формуланы тексер","✓ дұрыс"))))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L11" s="10" t="inlineStr">
        <is>
          <t>Орындалған қадамдар:</t>
        </is>
      </c>
      <c r="N11" s="11">
        <f>COUNTIF(N2:N9,"✓*")&amp;" / 8"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N2:N9">
    <cfRule type="expression" priority="1" dxfId="0">
      <formula>LEFT(N2,1)="✓"</formula>
    </cfRule>
    <cfRule type="expression" priority="2" dxfId="1">
      <formula>LEFT(N2,1)="✗"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10" max="10"/>
    <col width="20" customWidth="1" min="11" max="11"/>
    <col width="60" customWidth="1" min="12" max="12"/>
    <col width="16" customWidth="1" min="13" max="13"/>
    <col width="34" customWidth="1" min="14" max="14"/>
  </cols>
  <sheetData>
    <row r="1">
      <c r="A1" s="5" t="inlineStr">
        <is>
          <t>Учаске</t>
        </is>
      </c>
      <c r="B1" s="5" t="inlineStr">
        <is>
          <t>Ауданы, м²</t>
        </is>
      </c>
      <c r="C1" s="5" t="inlineStr">
        <is>
          <t>Қабырғасы, м</t>
        </is>
      </c>
      <c r="D1" s="5" t="inlineStr">
        <is>
          <t>Қоршау, м</t>
        </is>
      </c>
      <c r="E1" s="6" t="n"/>
      <c r="F1" s="6" t="n"/>
      <c r="G1" s="6" t="n"/>
      <c r="H1" s="6" t="n"/>
      <c r="J1" s="7" t="inlineStr">
        <is>
          <t>№</t>
        </is>
      </c>
      <c r="K1" s="7" t="inlineStr">
        <is>
          <t>Қадам түрі</t>
        </is>
      </c>
      <c r="L1" s="7" t="inlineStr">
        <is>
          <t>Тапсырма</t>
        </is>
      </c>
      <c r="M1" s="7" t="inlineStr">
        <is>
          <t>Ұяшық</t>
        </is>
      </c>
      <c r="N1" s="7" t="inlineStr">
        <is>
          <t>Тексеру</t>
        </is>
      </c>
    </row>
    <row r="2">
      <c r="A2" s="6" t="inlineStr">
        <is>
          <t>Бақ</t>
        </is>
      </c>
      <c r="B2" s="6" t="n">
        <v>64</v>
      </c>
      <c r="C2" s="4" t="n"/>
      <c r="D2" s="4" t="n"/>
      <c r="E2" s="6" t="n"/>
      <c r="F2" s="4" t="n"/>
      <c r="G2" s="6" t="n"/>
      <c r="H2" s="6" t="n"/>
      <c r="J2" s="8" t="n">
        <v>1</v>
      </c>
      <c r="K2" s="8" t="inlineStr">
        <is>
          <t>ұяшықтың түбірі</t>
        </is>
      </c>
      <c r="L2" s="8" t="inlineStr">
        <is>
          <t>Бақтың қабырғасын тап.</t>
        </is>
      </c>
      <c r="M2" s="8" t="inlineStr">
        <is>
          <t>C2</t>
        </is>
      </c>
      <c r="N2" s="9">
        <f>IF(ISBLANK(C2),"—",IF( OR(NOT(_xlfn.ISFORMULA(C2))),"✗ сан емес, формула керек",IF(NOT(OR(ISNUMBER(SEARCH("КОРЕНЬ(",IFERROR(_xlfn.FORMULATEXT(C2),""))),ISNUMBER(SEARCH("SQRT(",IFERROR(_xlfn.FORMULATEXT(C2),""))))),"✗ КОРЕНЬ функциясы керек",IF(NOT(AND(IFERROR(ABS(C2-(SQRT(B2)))&lt;=0.01*MAX(1,ABS(SQRT(B2))),FALSE))),"✗ жауап дұрыс емес — формуланы тексер","✓ дұрыс"))))</f>
        <v/>
      </c>
    </row>
    <row r="3">
      <c r="A3" s="6" t="inlineStr">
        <is>
          <t>Бақша</t>
        </is>
      </c>
      <c r="B3" s="6" t="n">
        <v>100</v>
      </c>
      <c r="C3" s="4" t="n"/>
      <c r="D3" s="6" t="n"/>
      <c r="E3" s="6" t="n"/>
      <c r="F3" s="4" t="n"/>
      <c r="G3" s="6" t="n"/>
      <c r="H3" s="6" t="n"/>
      <c r="J3" s="8" t="n">
        <v>2</v>
      </c>
      <c r="K3" s="8" t="inlineStr">
        <is>
          <t>созып көшіру</t>
        </is>
      </c>
      <c r="L3" s="8" t="inlineStr">
        <is>
          <t>C2-дегі формуланы C6-ға дейін төмен созып көшір. Ауланың қабырғасы қандай (C5)?</t>
        </is>
      </c>
      <c r="M3" s="8" t="inlineStr">
        <is>
          <t>C5</t>
        </is>
      </c>
      <c r="N3" s="9">
        <f>IF(ISBLANK(C5),"—",IF( OR(NOT(_xlfn.ISFORMULA(C5)),NOT(_xlfn.ISFORMULA(C6))),"✗ сан емес, формула керек (формуланы төмен созып көшір)",IF(NOT(AND(IFERROR(ABS(C5-(SQRT(B5)))&lt;=0.01*MAX(1,ABS(SQRT(B5))),FALSE),IFERROR(ABS(C6-(SQRT(B6)))&lt;=0.01*MAX(1,ABS(SQRT(B6))),FALSE))),"✗ жауап дұрыс емес — формуланы тексер","✓ дұрыс")))</f>
        <v/>
      </c>
    </row>
    <row r="4">
      <c r="A4" s="6" t="inlineStr">
        <is>
          <t>Гүлзар</t>
        </is>
      </c>
      <c r="B4" s="6" t="n">
        <v>2</v>
      </c>
      <c r="C4" s="4" t="n"/>
      <c r="D4" s="6" t="n"/>
      <c r="E4" s="6" t="n"/>
      <c r="F4" s="4" t="n"/>
      <c r="G4" s="6" t="n"/>
      <c r="H4" s="6" t="n"/>
      <c r="J4" s="8" t="n">
        <v>3</v>
      </c>
      <c r="K4" s="8" t="inlineStr">
        <is>
          <t>бөлшек жауап</t>
        </is>
      </c>
      <c r="L4" s="8" t="inlineStr">
        <is>
          <t>Гүлзардың қабырғасы қандай (C4)? «Басты» қойындысындағы «Разрядтылықты азайту» батырмасымен үтірден кейін 2 таңба қалдыр.</t>
        </is>
      </c>
      <c r="M4" s="8" t="inlineStr">
        <is>
          <t>C4</t>
        </is>
      </c>
      <c r="N4" s="9">
        <f>IF(ISBLANK(C4),"—",IF( OR(NOT(_xlfn.ISFORMULA(C4))),"✗ сан емес, формула керек",IF(NOT(AND(IFERROR(ABS(C4-(SQRT(B4)))&lt;=0.01*MAX(1,ABS(SQRT(B4))),FALSE))),"✗ жауап дұрыс емес — формуланы тексер","✓ дұрыс")))</f>
        <v/>
      </c>
    </row>
    <row r="5">
      <c r="A5" s="6" t="inlineStr">
        <is>
          <t>Аула</t>
        </is>
      </c>
      <c r="B5" s="6" t="n">
        <v>225</v>
      </c>
      <c r="C5" s="4" t="n"/>
      <c r="D5" s="6" t="n"/>
      <c r="E5" s="6" t="n"/>
      <c r="F5" s="4" t="n"/>
      <c r="G5" s="6" t="n"/>
      <c r="H5" s="6" t="n"/>
      <c r="J5" s="8" t="n">
        <v>4</v>
      </c>
      <c r="K5" s="8" t="inlineStr">
        <is>
          <t>санның түбірі</t>
        </is>
      </c>
      <c r="L5" s="8" t="inlineStr">
        <is>
          <t>144-тен түбірді тап — санды тікелей формулаға жаз.</t>
        </is>
      </c>
      <c r="M5" s="8" t="inlineStr">
        <is>
          <t>F2</t>
        </is>
      </c>
      <c r="N5" s="9">
        <f>IF(ISBLANK(F2),"—",IF( OR(NOT(_xlfn.ISFORMULA(F2))),"✗ сан емес, формула керек",IF(NOT(OR(ISNUMBER(SEARCH("КОРЕНЬ(",IFERROR(_xlfn.FORMULATEXT(F2),""))),ISNUMBER(SEARCH("SQRT(",IFERROR(_xlfn.FORMULATEXT(F2),""))))),"✗ КОРЕНЬ функциясы керек",IF(NOT(AND(IFERROR(ABS(F2-(12))&lt;=0.01*MAX(1,ABS(12)),FALSE))),"✗ жауап дұрыс емес — формуланы тексер","✓ дұрыс"))))</f>
        <v/>
      </c>
    </row>
    <row r="6">
      <c r="A6" s="6" t="inlineStr">
        <is>
          <t>Жылыжай</t>
        </is>
      </c>
      <c r="B6" s="6" t="n">
        <v>50</v>
      </c>
      <c r="C6" s="4" t="n"/>
      <c r="D6" s="6" t="n"/>
      <c r="E6" s="6" t="n"/>
      <c r="F6" s="6" t="n"/>
      <c r="G6" s="6" t="n"/>
      <c r="H6" s="6" t="n"/>
      <c r="J6" s="8" t="n">
        <v>5</v>
      </c>
      <c r="K6" s="8" t="inlineStr">
        <is>
          <t>түбір × сан</t>
        </is>
      </c>
      <c r="L6" s="8" t="inlineStr">
        <is>
          <t>Бақты айналдыра қанша метр қоршау керек? Шаршының 4 қабырғасы бар.</t>
        </is>
      </c>
      <c r="M6" s="8" t="inlineStr">
        <is>
          <t>D2</t>
        </is>
      </c>
      <c r="N6" s="9">
        <f>IF(ISBLANK(D2),"—",IF( OR(NOT(_xlfn.ISFORMULA(D2))),"✗ сан емес, формула керек",IF(NOT(AND(IFERROR(ABS(D2-(SQRT(B2)*4))&lt;=0.01*MAX(1,ABS(SQRT(B2)*4)),FALSE))),"✗ жауап дұрыс емес — формуланы тексер","✓ дұрыс")))</f>
        <v/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J7" s="8" t="n">
        <v>6</v>
      </c>
      <c r="K7" s="8" t="inlineStr">
        <is>
          <t>қате</t>
        </is>
      </c>
      <c r="L7" s="8" t="inlineStr">
        <is>
          <t>F3-ке −25-тен түбірді тер. Excel не көрсетеді?</t>
        </is>
      </c>
      <c r="M7" s="8" t="inlineStr">
        <is>
          <t>F3</t>
        </is>
      </c>
      <c r="N7" s="9">
        <f>IF(ISBLANK(F3),"—",IF( OR(NOT(_xlfn.ISFORMULA(F3))),"✗ сан емес, формула керек",IF(NOT(OR(ISNUMBER(SEARCH("КОРЕНЬ(",IFERROR(_xlfn.FORMULATEXT(F3),""))),ISNUMBER(SEARCH("SQRT(",IFERROR(_xlfn.FORMULATEXT(F3),""))))),"✗ КОРЕНЬ функциясы керек",IF(NOT(ISERROR(F3)),"✗ жауап дұрыс емес — формуланы тексер","✓ дұрыс"))))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J8" s="8" t="n">
        <v>7</v>
      </c>
      <c r="K8" s="8" t="inlineStr">
        <is>
          <t>қатені түзету</t>
        </is>
      </c>
      <c r="L8" s="8" t="inlineStr">
        <is>
          <t>Түзет: түбір ішіндегі минусты ABS арқылы алып таста.</t>
        </is>
      </c>
      <c r="M8" s="8" t="inlineStr">
        <is>
          <t>F4</t>
        </is>
      </c>
      <c r="N8" s="9">
        <f>IF(ISBLANK(F4),"—",IF( OR(NOT(_xlfn.ISFORMULA(F4))),"✗ сан емес, формула керек",IF(NOT(OR(ISNUMBER(SEARCH("КОРЕНЬ(",IFERROR(_xlfn.FORMULATEXT(F4),""))),ISNUMBER(SEARCH("SQRT(",IFERROR(_xlfn.FORMULATEXT(F4),""))))),"✗ КОРЕНЬ функциясы керек",IF(NOT(OR(ISNUMBER(SEARCH("ABS(",IFERROR(_xlfn.FORMULATEXT(F4),""))),ISNUMBER(SEARCH("ABS(",IFERROR(_xlfn.FORMULATEXT(F4),""))))),"✗ ABS функциясы керек",IF(NOT(AND(IFERROR(ABS(F4-(5))&lt;=0.01*MAX(1,ABS(5)),FALSE))),"✗ жауап дұрыс емес — формуланы тексер","✓ дұрыс")))))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J9" s="8" t="n">
        <v>8</v>
      </c>
      <c r="K9" s="8" t="inlineStr">
        <is>
          <t>күрделі: Пифагор</t>
        </is>
      </c>
      <c r="L9" s="8" t="inlineStr">
        <is>
          <t>Бақтың диагоналін тап: екі қабырға квадраттарының қосындысынан түбір. Қабырғасы C2-де бар. Жауабы — үтірден кейін 2 таңбамен.</t>
        </is>
      </c>
      <c r="M9" s="8" t="inlineStr">
        <is>
          <t>F5</t>
        </is>
      </c>
      <c r="N9" s="9">
        <f>IF(ISBLANK(F5),"—",IF( OR(NOT(_xlfn.ISFORMULA(F5))),"✗ сан емес, формула керек",IF(NOT(OR(ISNUMBER(SEARCH("КОРЕНЬ(",IFERROR(_xlfn.FORMULATEXT(F5),""))),ISNUMBER(SEARCH("SQRT(",IFERROR(_xlfn.FORMULATEXT(F5),""))))),"✗ КОРЕНЬ функциясы керек",IF(NOT(AND(IFERROR(ABS(F5-(SQRT(2*B2)))&lt;=0.01*MAX(1,ABS(SQRT(2*B2))),FALSE))),"✗ жауап дұрыс емес — формуланы тексер","✓ дұрыс"))))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L11" s="10" t="inlineStr">
        <is>
          <t>Орындалған қадамдар:</t>
        </is>
      </c>
      <c r="N11" s="11">
        <f>COUNTIF(N2:N9,"✓*")&amp;" / 8"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N2:N9">
    <cfRule type="expression" priority="1" dxfId="0">
      <formula>LEFT(N2,1)="✓"</formula>
    </cfRule>
    <cfRule type="expression" priority="2" dxfId="1">
      <formula>LEFT(N2,1)="✗"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10" max="10"/>
    <col width="20" customWidth="1" min="11" max="11"/>
    <col width="60" customWidth="1" min="12" max="12"/>
    <col width="16" customWidth="1" min="13" max="13"/>
    <col width="34" customWidth="1" min="14" max="14"/>
  </cols>
  <sheetData>
    <row r="1">
      <c r="A1" s="5" t="inlineStr">
        <is>
          <t>Сан</t>
        </is>
      </c>
      <c r="B1" s="5" t="inlineStr">
        <is>
          <t>Дәреже</t>
        </is>
      </c>
      <c r="C1" s="5" t="inlineStr">
        <is>
          <t>СТЕПЕНЬ</t>
        </is>
      </c>
      <c r="D1" s="5" t="inlineStr">
        <is>
          <t>^ таңбасы</t>
        </is>
      </c>
      <c r="E1" s="6" t="n"/>
      <c r="F1" s="6" t="n"/>
      <c r="G1" s="6" t="n"/>
      <c r="H1" s="6" t="n"/>
      <c r="J1" s="7" t="inlineStr">
        <is>
          <t>№</t>
        </is>
      </c>
      <c r="K1" s="7" t="inlineStr">
        <is>
          <t>Қадам түрі</t>
        </is>
      </c>
      <c r="L1" s="7" t="inlineStr">
        <is>
          <t>Тапсырма</t>
        </is>
      </c>
      <c r="M1" s="7" t="inlineStr">
        <is>
          <t>Ұяшық</t>
        </is>
      </c>
      <c r="N1" s="7" t="inlineStr">
        <is>
          <t>Тексеру</t>
        </is>
      </c>
    </row>
    <row r="2">
      <c r="A2" s="6" t="n">
        <v>2</v>
      </c>
      <c r="B2" s="6" t="n">
        <v>3</v>
      </c>
      <c r="C2" s="4" t="n"/>
      <c r="D2" s="4" t="n"/>
      <c r="E2" s="6" t="n"/>
      <c r="F2" s="4" t="n"/>
      <c r="G2" s="6" t="n"/>
      <c r="H2" s="6" t="n"/>
      <c r="J2" s="8" t="n">
        <v>1</v>
      </c>
      <c r="K2" s="8" t="inlineStr">
        <is>
          <t>екі ұяшық</t>
        </is>
      </c>
      <c r="L2" s="8" t="inlineStr">
        <is>
          <t>A2-дегі санды B2-дегі дәрежеге шығар.</t>
        </is>
      </c>
      <c r="M2" s="8" t="inlineStr">
        <is>
          <t>C2</t>
        </is>
      </c>
      <c r="N2" s="9">
        <f>IF(ISBLANK(C2),"—",IF( OR(NOT(_xlfn.ISFORMULA(C2))),"✗ сан емес, формула керек",IF(NOT(OR(ISNUMBER(SEARCH("СТЕПЕНЬ(",IFERROR(_xlfn.FORMULATEXT(C2),""))),ISNUMBER(SEARCH("POWER(",IFERROR(_xlfn.FORMULATEXT(C2),""))))),"✗ СТЕПЕНЬ функциясы керек",IF(NOT(AND(IFERROR(ABS(C2-(POWER(A2,B2)))&lt;=0.01*MAX(1,ABS(POWER(A2,B2))),FALSE))),"✗ жауап дұрыс емес — формуланы тексер","✓ дұрыс"))))</f>
        <v/>
      </c>
    </row>
    <row r="3">
      <c r="A3" s="6" t="n">
        <v>3</v>
      </c>
      <c r="B3" s="6" t="n">
        <v>2</v>
      </c>
      <c r="C3" s="4" t="n"/>
      <c r="D3" s="4" t="n"/>
      <c r="E3" s="6" t="n"/>
      <c r="F3" s="4" t="n"/>
      <c r="G3" s="6" t="n"/>
      <c r="H3" s="6" t="n"/>
      <c r="J3" s="8" t="n">
        <v>2</v>
      </c>
      <c r="K3" s="8" t="inlineStr">
        <is>
          <t>созып көшіру</t>
        </is>
      </c>
      <c r="L3" s="8" t="inlineStr">
        <is>
          <t>C2-ні C6-ға дейін созып көшір. C5-те не?</t>
        </is>
      </c>
      <c r="M3" s="8" t="inlineStr">
        <is>
          <t>C5</t>
        </is>
      </c>
      <c r="N3" s="9">
        <f>IF(ISBLANK(C5),"—",IF( OR(NOT(_xlfn.ISFORMULA(C5))),"✗ сан емес, формула керек (формуланы төмен созып көшір)",IF(NOT(AND(IFERROR(ABS(C5-(POWER(A5,B5)))&lt;=0.01*MAX(1,ABS(POWER(A5,B5))),FALSE))),"✗ жауап дұрыс емес — формуланы тексер","✓ дұрыс")))</f>
        <v/>
      </c>
    </row>
    <row r="4">
      <c r="A4" s="6" t="n">
        <v>5</v>
      </c>
      <c r="B4" s="6" t="n">
        <v>0</v>
      </c>
      <c r="C4" s="4" t="n"/>
      <c r="D4" s="4" t="n"/>
      <c r="E4" s="6" t="n"/>
      <c r="F4" s="4" t="n"/>
      <c r="G4" s="6" t="n"/>
      <c r="H4" s="6" t="n"/>
      <c r="J4" s="8" t="n">
        <v>3</v>
      </c>
      <c r="K4" s="8" t="inlineStr">
        <is>
          <t>теріс дәреже</t>
        </is>
      </c>
      <c r="L4" s="8" t="inlineStr">
        <is>
          <t>C6-да не? 4 санының −1 дәрежесі.</t>
        </is>
      </c>
      <c r="M4" s="8" t="inlineStr">
        <is>
          <t>C6</t>
        </is>
      </c>
      <c r="N4" s="9">
        <f>IF(ISBLANK(C6),"—",IF( OR(NOT(_xlfn.ISFORMULA(C6))),"✗ сан емес, формула керек",IF(NOT(AND(IFERROR(ABS(C6-(POWER(A6,B6)))&lt;=0.01*MAX(1,ABS(POWER(A6,B6))),FALSE))),"✗ жауап дұрыс емес — формуланы тексер","✓ дұрыс")))</f>
        <v/>
      </c>
    </row>
    <row r="5">
      <c r="A5" s="6" t="n">
        <v>10</v>
      </c>
      <c r="B5" s="6" t="n">
        <v>4</v>
      </c>
      <c r="C5" s="4" t="n"/>
      <c r="D5" s="4" t="n"/>
      <c r="E5" s="6" t="n"/>
      <c r="F5" s="4" t="n"/>
      <c r="G5" s="6" t="n"/>
      <c r="H5" s="6" t="n"/>
      <c r="J5" s="8" t="n">
        <v>4</v>
      </c>
      <c r="K5" s="8" t="inlineStr">
        <is>
          <t>^ таңбасы</t>
        </is>
      </c>
      <c r="L5" s="8" t="inlineStr">
        <is>
          <t>D2-де дәл соны ^ таңбасымен жаса да, төмен созып көшір. D3-те не? C3-пен сәйкес келе ме?</t>
        </is>
      </c>
      <c r="M5" s="8" t="inlineStr">
        <is>
          <t>D2 → төмен созып көшір; жауап D3 ұяшығында</t>
        </is>
      </c>
      <c r="N5" s="9">
        <f>IF(ISBLANK(D3),"—",IF( OR(NOT(_xlfn.ISFORMULA(D3)),NOT(_xlfn.ISFORMULA(D6))),"✗ сан емес, формула керек (формуланы төмен созып көшір)",IF(OR(ISNUMBER(SEARCH("СТЕПЕНЬ(",IFERROR(_xlfn.FORMULATEXT(D3),""))),ISNUMBER(SEARCH("POWER(",IFERROR(_xlfn.FORMULATEXT(D3),"")))),"✗ мұнда СТЕПЕНЬ функциясынсыз жаз",IF(NOT(AND(IFERROR(ABS(D3-(A3^B3))&lt;=0.01*MAX(1,ABS(A3^B3)),FALSE),IFERROR(ABS(D6-(A6^B6))&lt;=0.01*MAX(1,ABS(A6^B6)),FALSE))),"✗ жауап дұрыс емес — формуланы тексер",IF(ISERROR(SEARCH("^",IFERROR(_xlfn.FORMULATEXT(D3),""))),"✗ жауап дұрыс, бірақ қадамда сұралғандай жаз","✓ дұрыс")))))</f>
        <v/>
      </c>
    </row>
    <row r="6">
      <c r="A6" s="6" t="n">
        <v>4</v>
      </c>
      <c r="B6" s="6" t="n">
        <v>-1</v>
      </c>
      <c r="C6" s="4" t="n"/>
      <c r="D6" s="4" t="n"/>
      <c r="E6" s="6" t="n"/>
      <c r="F6" s="6" t="n"/>
      <c r="G6" s="6" t="n"/>
      <c r="H6" s="6" t="n"/>
      <c r="J6" s="8" t="n">
        <v>5</v>
      </c>
      <c r="K6" s="8" t="inlineStr">
        <is>
          <t>ұяшық + сан</t>
        </is>
      </c>
      <c r="L6" s="8" t="inlineStr">
        <is>
          <t>A2-дегі санды 10-дәрежеге шығар.</t>
        </is>
      </c>
      <c r="M6" s="8" t="inlineStr">
        <is>
          <t>F2</t>
        </is>
      </c>
      <c r="N6" s="9">
        <f>IF(ISBLANK(F2),"—",IF( OR(NOT(_xlfn.ISFORMULA(F2))),"✗ сан емес, формула керек",IF(NOT(OR(ISNUMBER(SEARCH("СТЕПЕНЬ(",IFERROR(_xlfn.FORMULATEXT(F2),""))),ISNUMBER(SEARCH("POWER(",IFERROR(_xlfn.FORMULATEXT(F2),""))))),"✗ СТЕПЕНЬ функциясы керек",IF(NOT(AND(IFERROR(ABS(F2-(POWER(A2,10)))&lt;=0.01*MAX(1,ABS(POWER(A2,10))),FALSE))),"✗ жауап дұрыс емес — формуланы тексер",IF(ISERROR(SEARCH("10",IFERROR(_xlfn.FORMULATEXT(F2),""))),"✗ жауап дұрыс, бірақ қадамда сұралғандай жаз","✓ дұрыс")))))</f>
        <v/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J7" s="8" t="n">
        <v>6</v>
      </c>
      <c r="K7" s="8" t="inlineStr">
        <is>
          <t>кубтың көлемі</t>
        </is>
      </c>
      <c r="L7" s="8" t="inlineStr">
        <is>
          <t>Кубиктің қыры 7 см. Оның көлемін тап.</t>
        </is>
      </c>
      <c r="M7" s="8" t="inlineStr">
        <is>
          <t>F3</t>
        </is>
      </c>
      <c r="N7" s="9">
        <f>IF(ISBLANK(F3),"—",IF( OR(NOT(_xlfn.ISFORMULA(F3))),"✗ сан емес, формула керек",IF(NOT(OR(ISNUMBER(SEARCH("СТЕПЕНЬ(",IFERROR(_xlfn.FORMULATEXT(F3),""))),ISNUMBER(SEARCH("POWER(",IFERROR(_xlfn.FORMULATEXT(F3),""))))),"✗ СТЕПЕНЬ функциясы керек",IF(NOT(AND(IFERROR(ABS(F3-(343))&lt;=0.01*MAX(1,ABS(343)),FALSE))),"✗ жауап дұрыс емес — формуланы тексер","✓ дұрыс"))))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J8" s="8" t="n">
        <v>7</v>
      </c>
      <c r="K8" s="8" t="inlineStr">
        <is>
          <t>күрделі: дәреже арқылы түбір</t>
        </is>
      </c>
      <c r="L8" s="8" t="inlineStr">
        <is>
          <t>КОРЕНЬ функциясынсыз, СТЕПЕНЬ арқылы 81-ден түбірді тап.</t>
        </is>
      </c>
      <c r="M8" s="8" t="inlineStr">
        <is>
          <t>F4</t>
        </is>
      </c>
      <c r="N8" s="9">
        <f>IF(ISBLANK(F4),"—",IF( OR(NOT(_xlfn.ISFORMULA(F4))),"✗ сан емес, формула керек",IF(NOT(OR(ISNUMBER(SEARCH("СТЕПЕНЬ(",IFERROR(_xlfn.FORMULATEXT(F4),""))),ISNUMBER(SEARCH("POWER(",IFERROR(_xlfn.FORMULATEXT(F4),""))))),"✗ СТЕПЕНЬ функциясы керек",IF(OR(ISNUMBER(SEARCH("КОРЕНЬ(",IFERROR(_xlfn.FORMULATEXT(F4),""))),ISNUMBER(SEARCH("SQRT(",IFERROR(_xlfn.FORMULATEXT(F4),"")))),"✗ мұнда КОРЕНЬ функциясынсыз жаз",IF(NOT(AND(IFERROR(ABS(F4-(9))&lt;=0.01*MAX(1,ABS(9)),FALSE))),"✗ жауап дұрыс емес — формуланы тексер","✓ дұрыс")))))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J9" s="8" t="n">
        <v>8</v>
      </c>
      <c r="K9" s="8" t="inlineStr">
        <is>
          <t>күрделі: салым</t>
        </is>
      </c>
      <c r="L9" s="8" t="inlineStr">
        <is>
          <t>Салым 100 000 тг, жылдық 10%. 3 жылдан кейін қанша болады? Әр жыл сайын сома 1,1-ге көбейеді.</t>
        </is>
      </c>
      <c r="M9" s="8" t="inlineStr">
        <is>
          <t>F5</t>
        </is>
      </c>
      <c r="N9" s="9">
        <f>IF(ISBLANK(F5),"—",IF( OR(NOT(_xlfn.ISFORMULA(F5))),"✗ сан емес, формула керек",IF(NOT(OR(ISNUMBER(SEARCH("СТЕПЕНЬ(",IFERROR(_xlfn.FORMULATEXT(F5),""))),ISNUMBER(SEARCH("POWER(",IFERROR(_xlfn.FORMULATEXT(F5),""))))),"✗ СТЕПЕНЬ функциясы керек",IF(NOT(AND(IFERROR(ABS(F5-(133100))&lt;=0.01*MAX(1,ABS(133100)),FALSE))),"✗ жауап дұрыс емес — формуланы тексер","✓ дұрыс"))))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L11" s="10" t="inlineStr">
        <is>
          <t>Орындалған қадамдар:</t>
        </is>
      </c>
      <c r="N11" s="11">
        <f>COUNTIF(N2:N9,"✓*")&amp;" / 8"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N2:N9">
    <cfRule type="expression" priority="1" dxfId="0">
      <formula>LEFT(N2,1)="✓"</formula>
    </cfRule>
    <cfRule type="expression" priority="2" dxfId="1">
      <formula>LEFT(N2,1)="✗"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10" max="10"/>
    <col width="20" customWidth="1" min="11" max="11"/>
    <col width="60" customWidth="1" min="12" max="12"/>
    <col width="16" customWidth="1" min="13" max="13"/>
    <col width="34" customWidth="1" min="14" max="14"/>
  </cols>
  <sheetData>
    <row r="1">
      <c r="A1" s="5" t="inlineStr">
        <is>
          <t>Күн</t>
        </is>
      </c>
      <c r="B1" s="5" t="inlineStr">
        <is>
          <t>Санат</t>
        </is>
      </c>
      <c r="C1" s="5" t="inlineStr">
        <is>
          <t>Сомасы, тг</t>
        </is>
      </c>
      <c r="D1" s="6" t="n"/>
      <c r="E1" s="6" t="n"/>
      <c r="F1" s="6" t="n"/>
      <c r="G1" s="6" t="n"/>
      <c r="H1" s="6" t="n"/>
      <c r="J1" s="7" t="inlineStr">
        <is>
          <t>№</t>
        </is>
      </c>
      <c r="K1" s="7" t="inlineStr">
        <is>
          <t>Қадам түрі</t>
        </is>
      </c>
      <c r="L1" s="7" t="inlineStr">
        <is>
          <t>Тапсырма</t>
        </is>
      </c>
      <c r="M1" s="7" t="inlineStr">
        <is>
          <t>Ұяшық</t>
        </is>
      </c>
      <c r="N1" s="7" t="inlineStr">
        <is>
          <t>Тексеру</t>
        </is>
      </c>
    </row>
    <row r="2">
      <c r="A2" s="6" t="inlineStr">
        <is>
          <t>Дс</t>
        </is>
      </c>
      <c r="B2" s="6" t="inlineStr">
        <is>
          <t>кіріс</t>
        </is>
      </c>
      <c r="C2" s="6" t="n">
        <v>2000</v>
      </c>
      <c r="D2" s="6" t="n"/>
      <c r="E2" s="6" t="n"/>
      <c r="F2" s="4" t="n"/>
      <c r="G2" s="6" t="n"/>
      <c r="H2" s="6" t="n"/>
      <c r="J2" s="8" t="n">
        <v>1</v>
      </c>
      <c r="K2" s="8" t="inlineStr">
        <is>
          <t>шарт &gt;0</t>
        </is>
      </c>
      <c r="L2" s="8" t="inlineStr">
        <is>
          <t>Аптада қанша ақша алынды? Тек оң сомаларды қос.</t>
        </is>
      </c>
      <c r="M2" s="8" t="inlineStr">
        <is>
          <t>F2</t>
        </is>
      </c>
      <c r="N2" s="9">
        <f>IF(ISBLANK(F2),"—",IF( OR(NOT(_xlfn.ISFORMULA(F2))),"✗ сан емес, формула керек",IF(NOT(OR(ISNUMBER(SEARCH("СУММЕСЛИ(",IFERROR(_xlfn.FORMULATEXT(F2),""))),ISNUMBER(SEARCH("SUMIF(",IFERROR(_xlfn.FORMULATEXT(F2),""))))),"✗ СУММЕСЛИ функциясы керек",IF(NOT(AND(IFERROR(ABS(F2-(SUMIF(C2:C9,"&gt;0")))&lt;=0.01*MAX(1,ABS(SUMIF(C2:C9,"&gt;0"))),FALSE))),"✗ жауап дұрыс емес — формуланы тексер",IF(ISERROR(SEARCH("&gt;0",IFERROR(_xlfn.FORMULATEXT(F2),""))),"✗ жауап дұрыс, бірақ қадамда сұралғандай жаз","✓ дұрыс")))))</f>
        <v/>
      </c>
    </row>
    <row r="3">
      <c r="A3" s="6" t="inlineStr">
        <is>
          <t>Дс</t>
        </is>
      </c>
      <c r="B3" s="6" t="inlineStr">
        <is>
          <t>тамақ</t>
        </is>
      </c>
      <c r="C3" s="6" t="n">
        <v>-450</v>
      </c>
      <c r="D3" s="6" t="n"/>
      <c r="E3" s="6" t="n"/>
      <c r="F3" s="4" t="n"/>
      <c r="G3" s="6" t="n"/>
      <c r="H3" s="6" t="n"/>
      <c r="J3" s="8" t="n">
        <v>2</v>
      </c>
      <c r="K3" s="8" t="inlineStr">
        <is>
          <t>шарт &lt;0</t>
        </is>
      </c>
      <c r="L3" s="8" t="inlineStr">
        <is>
          <t>Қанша жұмсалды? Тек теріс сомаларды қос.</t>
        </is>
      </c>
      <c r="M3" s="8" t="inlineStr">
        <is>
          <t>F3</t>
        </is>
      </c>
      <c r="N3" s="9">
        <f>IF(ISBLANK(F3),"—",IF( OR(NOT(_xlfn.ISFORMULA(F3))),"✗ сан емес, формула керек",IF(NOT(OR(ISNUMBER(SEARCH("СУММЕСЛИ(",IFERROR(_xlfn.FORMULATEXT(F3),""))),ISNUMBER(SEARCH("SUMIF(",IFERROR(_xlfn.FORMULATEXT(F3),""))))),"✗ СУММЕСЛИ функциясы керек",IF(NOT(AND(IFERROR(ABS(F3-(SUMIF(C2:C9,"&lt;0")))&lt;=0.01*MAX(1,ABS(SUMIF(C2:C9,"&lt;0"))),FALSE))),"✗ жауап дұрыс емес — формуланы тексер",IF(ISERROR(SEARCH("&lt;0",IFERROR(_xlfn.FORMULATEXT(F3),""))),"✗ жауап дұрыс, бірақ қадамда сұралғандай жаз","✓ дұрыс")))))</f>
        <v/>
      </c>
    </row>
    <row r="4">
      <c r="A4" s="6" t="inlineStr">
        <is>
          <t>Сс</t>
        </is>
      </c>
      <c r="B4" s="6" t="inlineStr">
        <is>
          <t>көлік</t>
        </is>
      </c>
      <c r="C4" s="6" t="n">
        <v>-200</v>
      </c>
      <c r="D4" s="6" t="n"/>
      <c r="E4" s="6" t="n"/>
      <c r="F4" s="4" t="n"/>
      <c r="G4" s="6" t="n"/>
      <c r="H4" s="6" t="n"/>
      <c r="J4" s="8" t="n">
        <v>3</v>
      </c>
      <c r="K4" s="8" t="inlineStr">
        <is>
          <t>мәтін + қосу ауқымы</t>
        </is>
      </c>
      <c r="L4" s="8" t="inlineStr">
        <is>
          <t>Тамаққа қанша кетті? B бағанынан «тамақ» сөзін іздейміз, C бағанын қосамыз.</t>
        </is>
      </c>
      <c r="M4" s="8" t="inlineStr">
        <is>
          <t>F4</t>
        </is>
      </c>
      <c r="N4" s="9">
        <f>IF(ISBLANK(F4),"—",IF( OR(NOT(_xlfn.ISFORMULA(F4))),"✗ сан емес, формула керек",IF(NOT(OR(ISNUMBER(SEARCH("СУММЕСЛИ(",IFERROR(_xlfn.FORMULATEXT(F4),""))),ISNUMBER(SEARCH("SUMIF(",IFERROR(_xlfn.FORMULATEXT(F4),""))))),"✗ СУММЕСЛИ функциясы керек",IF(NOT(AND(IFERROR(ABS(F4-(SUMIF(B2:B9,"тамақ",C2:C9)))&lt;=0.01*MAX(1,ABS(SUMIF(B2:B9,"тамақ",C2:C9))),FALSE))),"✗ жауап дұрыс емес — формуланы тексер",IF(ISERROR(SEARCH("тамақ",IFERROR(_xlfn.FORMULATEXT(F4),""))),"✗ жауап дұрыс, бірақ қадамда сұралғандай жаз","✓ дұрыс")))))</f>
        <v/>
      </c>
    </row>
    <row r="5">
      <c r="A5" s="6" t="inlineStr">
        <is>
          <t>Ср</t>
        </is>
      </c>
      <c r="B5" s="6" t="inlineStr">
        <is>
          <t>тамақ</t>
        </is>
      </c>
      <c r="C5" s="6" t="n">
        <v>-600</v>
      </c>
      <c r="D5" s="6" t="n"/>
      <c r="E5" s="6" t="n"/>
      <c r="F5" s="4" t="n"/>
      <c r="G5" s="6" t="n"/>
      <c r="H5" s="6" t="n"/>
      <c r="J5" s="8" t="n">
        <v>4</v>
      </c>
      <c r="K5" s="8" t="inlineStr">
        <is>
          <t>ұяшықтағы шарт</t>
        </is>
      </c>
      <c r="L5" s="8" t="inlineStr">
        <is>
          <t>E5-ке «көлік» сөзін жаз. F5-те осы санаттың сомаларын қос, шарт ретінде E5 ұяшығын көрсет (тырнақшасыз).</t>
        </is>
      </c>
      <c r="M5" s="8" t="inlineStr">
        <is>
          <t>F5</t>
        </is>
      </c>
      <c r="N5" s="9">
        <f>IF(ISBLANK(F5),"—",IF(NOT(E5&lt;&gt;""),"✗ алдымен E5-ке санатты жаз",IF( OR(NOT(_xlfn.ISFORMULA(F5))),"✗ сан емес, формула керек",IF(NOT(OR(ISNUMBER(SEARCH("СУММЕСЛИ(",IFERROR(_xlfn.FORMULATEXT(F5),""))),ISNUMBER(SEARCH("SUMIF(",IFERROR(_xlfn.FORMULATEXT(F5),""))))),"✗ СУММЕСЛИ функциясы керек",IF(NOT(AND(IFERROR(ABS(F5-(SUMIF(B2:B9,E5,C2:C9)))&lt;=0.01*MAX(1,ABS(SUMIF(B2:B9,E5,C2:C9))),FALSE))),"✗ жауап дұрыс емес — формуланы тексер",IF(ISERROR(SEARCH("E5",IFERROR(_xlfn.FORMULATEXT(F5),""))),"✗ жауап дұрыс, бірақ қадамда сұралғандай жаз","✓ дұрыс"))))))</f>
        <v/>
      </c>
    </row>
    <row r="6">
      <c r="A6" s="6" t="inlineStr">
        <is>
          <t>Бс</t>
        </is>
      </c>
      <c r="B6" s="6" t="inlineStr">
        <is>
          <t>ойындар</t>
        </is>
      </c>
      <c r="C6" s="6" t="n">
        <v>-1500</v>
      </c>
      <c r="D6" s="6" t="n"/>
      <c r="E6" s="6" t="n"/>
      <c r="F6" s="4" t="n"/>
      <c r="G6" s="6" t="n"/>
      <c r="H6" s="6" t="n"/>
      <c r="J6" s="8" t="n">
        <v>5</v>
      </c>
      <c r="K6" s="8" t="inlineStr">
        <is>
          <t>саны бар шарт</t>
        </is>
      </c>
      <c r="L6" s="8" t="inlineStr">
        <is>
          <t>Тек ірі шығындарды қос — −500-ден кіші.</t>
        </is>
      </c>
      <c r="M6" s="8" t="inlineStr">
        <is>
          <t>F6</t>
        </is>
      </c>
      <c r="N6" s="9">
        <f>IF(ISBLANK(F6),"—",IF( OR(NOT(_xlfn.ISFORMULA(F6))),"✗ сан емес, формула керек",IF(NOT(OR(ISNUMBER(SEARCH("СУММЕСЛИ(",IFERROR(_xlfn.FORMULATEXT(F6),""))),ISNUMBER(SEARCH("SUMIF(",IFERROR(_xlfn.FORMULATEXT(F6),""))))),"✗ СУММЕСЛИ функциясы керек",IF(NOT(AND(IFERROR(ABS(F6-(SUMIF(C2:C9,"&lt;-500")))&lt;=0.01*MAX(1,ABS(SUMIF(C2:C9,"&lt;-500"))),FALSE))),"✗ жауап дұрыс емес — формуланы тексер",IF(ISERROR(SEARCH("&lt;-500",IFERROR(_xlfn.FORMULATEXT(F6),""))),"✗ жауап дұрыс, бірақ қадамда сұралғандай жаз","✓ дұрыс")))))</f>
        <v/>
      </c>
    </row>
    <row r="7">
      <c r="A7" s="6" t="inlineStr">
        <is>
          <t>Жм</t>
        </is>
      </c>
      <c r="B7" s="6" t="inlineStr">
        <is>
          <t>кіріс</t>
        </is>
      </c>
      <c r="C7" s="6" t="n">
        <v>1000</v>
      </c>
      <c r="D7" s="6" t="n"/>
      <c r="E7" s="6" t="n"/>
      <c r="F7" s="4" t="n"/>
      <c r="G7" s="6" t="n"/>
      <c r="H7" s="6" t="n"/>
      <c r="J7" s="8" t="n">
        <v>6</v>
      </c>
      <c r="K7" s="8" t="inlineStr">
        <is>
          <t>күрделі: минуссыз</t>
        </is>
      </c>
      <c r="L7" s="8" t="inlineStr">
        <is>
          <t>Қанша жұмсалды — минуссыз? Бір формула.</t>
        </is>
      </c>
      <c r="M7" s="8" t="inlineStr">
        <is>
          <t>F7</t>
        </is>
      </c>
      <c r="N7" s="9">
        <f>IF(ISBLANK(F7),"—",IF( OR(NOT(_xlfn.ISFORMULA(F7))),"✗ сан емес, формула керек",IF(NOT(OR(ISNUMBER(SEARCH("СУММЕСЛИ(",IFERROR(_xlfn.FORMULATEXT(F7),""))),ISNUMBER(SEARCH("SUMIF(",IFERROR(_xlfn.FORMULATEXT(F7),""))))),"✗ СУММЕСЛИ функциясы керек",IF(NOT(OR(ISNUMBER(SEARCH("ABS(",IFERROR(_xlfn.FORMULATEXT(F7),""))),ISNUMBER(SEARCH("ABS(",IFERROR(_xlfn.FORMULATEXT(F7),""))))),"✗ ABS функциясы керек",IF(NOT(AND(IFERROR(ABS(F7-(-SUMIF(C2:C9,"&lt;0")))&lt;=0.01*MAX(1,ABS(-SUMIF(C2:C9,"&lt;0"))),FALSE))),"✗ жауап дұрыс емес — формуланы тексер","✓ дұрыс")))))</f>
        <v/>
      </c>
    </row>
    <row r="8">
      <c r="A8" s="6" t="inlineStr">
        <is>
          <t>Сн</t>
        </is>
      </c>
      <c r="B8" s="6" t="inlineStr">
        <is>
          <t>тамақ</t>
        </is>
      </c>
      <c r="C8" s="6" t="n">
        <v>-350</v>
      </c>
      <c r="D8" s="6" t="n"/>
      <c r="E8" s="6" t="n"/>
      <c r="F8" s="4" t="n"/>
      <c r="G8" s="6" t="n"/>
      <c r="H8" s="6" t="n"/>
      <c r="J8" s="8" t="n">
        <v>7</v>
      </c>
      <c r="K8" s="8" t="inlineStr">
        <is>
          <t>күрделі: қалдық</t>
        </is>
      </c>
      <c r="L8" s="8" t="inlineStr">
        <is>
          <t>Апта соңына қанша ақша қалды? Жауаптағы минус нені білдіреді?</t>
        </is>
      </c>
      <c r="M8" s="8" t="inlineStr">
        <is>
          <t>F8</t>
        </is>
      </c>
      <c r="N8" s="9">
        <f>IF(ISBLANK(F8),"—",IF( OR(NOT(_xlfn.ISFORMULA(F8))),"✗ сан емес, формула керек",IF(NOT(OR(ISNUMBER(SEARCH("СУММ(",IFERROR(_xlfn.FORMULATEXT(F8),""))),ISNUMBER(SEARCH("SUM(",IFERROR(_xlfn.FORMULATEXT(F8),""))))),"✗ СУММ функциясы керек",IF(NOT(AND(IFERROR(ABS(F8-(SUM(C2:C9)))&lt;=0.01*MAX(1,ABS(SUM(C2:C9))),FALSE))),"✗ жауап дұрыс емес — формуланы тексер","✓ дұрыс"))))</f>
        <v/>
      </c>
    </row>
    <row r="9">
      <c r="A9" s="6" t="inlineStr">
        <is>
          <t>Жс</t>
        </is>
      </c>
      <c r="B9" s="6" t="inlineStr">
        <is>
          <t>көлік</t>
        </is>
      </c>
      <c r="C9" s="6" t="n">
        <v>-200</v>
      </c>
      <c r="D9" s="6" t="n"/>
      <c r="E9" s="6" t="n"/>
      <c r="F9" s="6" t="n"/>
      <c r="G9" s="6" t="n"/>
      <c r="H9" s="6" t="n"/>
      <c r="J9" s="8" t="n">
        <v>8</v>
      </c>
      <c r="K9" s="8" t="inlineStr">
        <is>
          <t>күрделі: шартты ауыстыру</t>
        </is>
      </c>
      <c r="L9" s="8" t="inlineStr">
        <is>
          <t>E5-тегі сөзді «ойындар» деп ауыстыр. Енді F5-те не тұр? Формуланы өзгертпе.</t>
        </is>
      </c>
      <c r="M9" s="8" t="inlineStr">
        <is>
          <t>F5</t>
        </is>
      </c>
      <c r="N9" s="9">
        <f>IF(ISBLANK(F5),"—",IF(NOT(E5="ойындар"),"✗ алдымен E5-тегі сөзді «ойындар» деп ауыстыр",IF( OR(NOT(_xlfn.ISFORMULA(F5))),"✗ сан емес, формула керек",IF(NOT(OR(ISNUMBER(SEARCH("СУММЕСЛИ(",IFERROR(_xlfn.FORMULATEXT(F5),""))),ISNUMBER(SEARCH("SUMIF(",IFERROR(_xlfn.FORMULATEXT(F5),""))))),"✗ СУММЕСЛИ функциясы керек",IF(NOT(AND(IFERROR(ABS(F5-(SUMIF(B2:B9,E5,C2:C9)))&lt;=0.01*MAX(1,ABS(SUMIF(B2:B9,E5,C2:C9))),FALSE))),"✗ жауап дұрыс емес — формуланы тексер","✓ дұрыс")))))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L11" s="10" t="inlineStr">
        <is>
          <t>Орындалған қадамдар:</t>
        </is>
      </c>
      <c r="N11" s="11">
        <f>COUNTIF(N2:N9,"✓*")&amp;" / 8"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N2:N9">
    <cfRule type="expression" priority="1" dxfId="0">
      <formula>LEFT(N2,1)="✓"</formula>
    </cfRule>
    <cfRule type="expression" priority="2" dxfId="1">
      <formula>LEFT(N2,1)="✗"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10" max="10"/>
    <col width="20" customWidth="1" min="11" max="11"/>
    <col width="60" customWidth="1" min="12" max="12"/>
    <col width="16" customWidth="1" min="13" max="13"/>
    <col width="34" customWidth="1" min="14" max="14"/>
  </cols>
  <sheetData>
    <row r="1">
      <c r="A1" s="5" t="inlineStr">
        <is>
          <t>Еден ауданы, м²</t>
        </is>
      </c>
      <c r="B1" s="5" t="n">
        <v>16</v>
      </c>
      <c r="C1" s="6" t="n"/>
      <c r="D1" s="6" t="n"/>
      <c r="E1" s="4" t="n"/>
      <c r="F1" s="6" t="n"/>
      <c r="G1" s="6" t="n"/>
      <c r="H1" s="6" t="n"/>
      <c r="J1" s="7" t="inlineStr">
        <is>
          <t>№</t>
        </is>
      </c>
      <c r="K1" s="7" t="inlineStr">
        <is>
          <t>Қадам түрі</t>
        </is>
      </c>
      <c r="L1" s="7" t="inlineStr">
        <is>
          <t>Тапсырма</t>
        </is>
      </c>
      <c r="M1" s="7" t="inlineStr">
        <is>
          <t>Ұяшық</t>
        </is>
      </c>
      <c r="N1" s="7" t="inlineStr">
        <is>
          <t>Тексеру</t>
        </is>
      </c>
    </row>
    <row r="2">
      <c r="A2" s="6" t="inlineStr">
        <is>
          <t>Қабырға биіктігі, м</t>
        </is>
      </c>
      <c r="B2" s="6" t="n">
        <v>2.5</v>
      </c>
      <c r="C2" s="6" t="n"/>
      <c r="D2" s="6" t="n"/>
      <c r="E2" s="4" t="n"/>
      <c r="F2" s="6" t="n"/>
      <c r="G2" s="6" t="n"/>
      <c r="H2" s="6" t="n"/>
      <c r="J2" s="8" t="n">
        <v>1</v>
      </c>
      <c r="K2" s="8" t="inlineStr">
        <is>
          <t>КОРЕНЬ</t>
        </is>
      </c>
      <c r="L2" s="8" t="inlineStr">
        <is>
          <t>Бөлменің қабырғасының ұзындығы қандай? Бөлме шаршы пішінді.</t>
        </is>
      </c>
      <c r="M2" s="8" t="inlineStr">
        <is>
          <t>E1</t>
        </is>
      </c>
      <c r="N2" s="9">
        <f>IF(ISBLANK(E1),"—",IF( OR(NOT(_xlfn.ISFORMULA(E1))),"✗ сан емес, формула керек",IF(NOT(OR(ISNUMBER(SEARCH("КОРЕНЬ(",IFERROR(_xlfn.FORMULATEXT(E1),""))),ISNUMBER(SEARCH("SQRT(",IFERROR(_xlfn.FORMULATEXT(E1),""))))),"✗ КОРЕНЬ функциясы керек",IF(NOT(AND(IFERROR(ABS(E1-(SQRT(B1)))&lt;=0.01*MAX(1,ABS(SQRT(B1))),FALSE))),"✗ жауап дұрыс емес — формуланы тексер","✓ дұрыс"))))</f>
        <v/>
      </c>
    </row>
    <row r="3">
      <c r="A3" s="6" t="inlineStr">
        <is>
          <t>Бюджет, тг</t>
        </is>
      </c>
      <c r="B3" s="6" t="n">
        <v>100000</v>
      </c>
      <c r="C3" s="6" t="n"/>
      <c r="D3" s="6" t="n"/>
      <c r="E3" s="4" t="n"/>
      <c r="F3" s="6" t="n"/>
      <c r="G3" s="6" t="n"/>
      <c r="H3" s="6" t="n"/>
      <c r="J3" s="8" t="n">
        <v>2</v>
      </c>
      <c r="K3" s="8" t="inlineStr">
        <is>
          <t>СТЕПЕНЬ</t>
        </is>
      </c>
      <c r="L3" s="8" t="inlineStr">
        <is>
          <t>Тексер: E1-дегі қабырғаны квадратқа шығар — еден ауданы шығуы керек.</t>
        </is>
      </c>
      <c r="M3" s="8" t="inlineStr">
        <is>
          <t>E2</t>
        </is>
      </c>
      <c r="N3" s="9">
        <f>IF(ISBLANK(E2),"—",IF( OR(NOT(_xlfn.ISFORMULA(E2))),"✗ сан емес, формула керек",IF(NOT(OR(ISNUMBER(SEARCH("СТЕПЕНЬ(",IFERROR(_xlfn.FORMULATEXT(E2),""))),ISNUMBER(SEARCH("POWER(",IFERROR(_xlfn.FORMULATEXT(E2),""))))),"✗ СТЕПЕНЬ функциясы керек",IF(NOT(AND(IFERROR(ABS(E2-(B1))&lt;=0.01*MAX(1,ABS(B1)),FALSE))),"✗ жауап дұрыс емес — формуланы тексер","✓ дұрыс"))))</f>
        <v/>
      </c>
    </row>
    <row r="4">
      <c r="A4" s="6" t="n"/>
      <c r="B4" s="6" t="n"/>
      <c r="C4" s="6" t="n"/>
      <c r="D4" s="6" t="n"/>
      <c r="E4" s="4" t="n"/>
      <c r="F4" s="6" t="n"/>
      <c r="G4" s="6" t="n"/>
      <c r="H4" s="6" t="n"/>
      <c r="J4" s="8" t="n">
        <v>3</v>
      </c>
      <c r="K4" s="8" t="inlineStr">
        <is>
          <t>ұяшықтары бар формула</t>
        </is>
      </c>
      <c r="L4" s="8" t="inlineStr">
        <is>
          <t>4 қабырғаның жалпы ауданы қандай? Қабырға — тіктөртбұрыш: ұзындығы × биіктігі.</t>
        </is>
      </c>
      <c r="M4" s="8" t="inlineStr">
        <is>
          <t>E3</t>
        </is>
      </c>
      <c r="N4" s="9">
        <f>IF(ISBLANK(E3),"—",IF( OR(NOT(_xlfn.ISFORMULA(E3))),"✗ сан емес, формула керек",IF(NOT(AND(IFERROR(ABS(E3-(4*SQRT(B1)*B2))&lt;=0.01*MAX(1,ABS(4*SQRT(B1)*B2)),FALSE))),"✗ жауап дұрыс емес — формуланы тексер","✓ дұрыс")))</f>
        <v/>
      </c>
    </row>
    <row r="5">
      <c r="A5" s="5" t="inlineStr">
        <is>
          <t>Тауар</t>
        </is>
      </c>
      <c r="B5" s="5" t="inlineStr">
        <is>
          <t>Санат</t>
        </is>
      </c>
      <c r="C5" s="5" t="inlineStr">
        <is>
          <t>Бағасы, тг</t>
        </is>
      </c>
      <c r="D5" s="6" t="n"/>
      <c r="E5" s="4" t="n"/>
      <c r="F5" s="6" t="n"/>
      <c r="G5" s="6" t="n"/>
      <c r="H5" s="6" t="n"/>
      <c r="J5" s="8" t="n">
        <v>4</v>
      </c>
      <c r="K5" s="8" t="inlineStr">
        <is>
          <t>СУММ</t>
        </is>
      </c>
      <c r="L5" s="8" t="inlineStr">
        <is>
          <t>Смета бойынша барлық сатып алу қанша тұрады?</t>
        </is>
      </c>
      <c r="M5" s="8" t="inlineStr">
        <is>
          <t>E4</t>
        </is>
      </c>
      <c r="N5" s="9">
        <f>IF(ISBLANK(E4),"—",IF( OR(NOT(_xlfn.ISFORMULA(E4))),"✗ сан емес, формула керек",IF(NOT(OR(ISNUMBER(SEARCH("СУММ(",IFERROR(_xlfn.FORMULATEXT(E4),""))),ISNUMBER(SEARCH("SUM(",IFERROR(_xlfn.FORMULATEXT(E4),""))))),"✗ СУММ функциясы керек",IF(NOT(AND(IFERROR(ABS(E4-(SUM(C6:C11)))&lt;=0.01*MAX(1,ABS(SUM(C6:C11))),FALSE))),"✗ жауап дұрыс емес — формуланы тексер","✓ дұрыс"))))</f>
        <v/>
      </c>
    </row>
    <row r="6">
      <c r="A6" s="6" t="inlineStr">
        <is>
          <t>Ақ бояу</t>
        </is>
      </c>
      <c r="B6" s="6" t="inlineStr">
        <is>
          <t>бояу</t>
        </is>
      </c>
      <c r="C6" s="6" t="n">
        <v>12000</v>
      </c>
      <c r="D6" s="6" t="n"/>
      <c r="E6" s="4" t="n"/>
      <c r="F6" s="6" t="n"/>
      <c r="G6" s="6" t="n"/>
      <c r="H6" s="6" t="n"/>
      <c r="J6" s="8" t="n">
        <v>5</v>
      </c>
      <c r="K6" s="8" t="inlineStr">
        <is>
          <t>СУММЕСЛИ</t>
        </is>
      </c>
      <c r="L6" s="8" t="inlineStr">
        <is>
          <t>Тек бояу қанша тұрады?</t>
        </is>
      </c>
      <c r="M6" s="8" t="inlineStr">
        <is>
          <t>E5</t>
        </is>
      </c>
      <c r="N6" s="9">
        <f>IF(ISBLANK(E5),"—",IF( OR(NOT(_xlfn.ISFORMULA(E5))),"✗ сан емес, формула керек",IF(NOT(OR(ISNUMBER(SEARCH("СУММЕСЛИ(",IFERROR(_xlfn.FORMULATEXT(E5),""))),ISNUMBER(SEARCH("SUMIF(",IFERROR(_xlfn.FORMULATEXT(E5),""))))),"✗ СУММЕСЛИ функциясы керек",IF(NOT(AND(IFERROR(ABS(E5-(SUMIF(B6:B11,"бояу",C6:C11)))&lt;=0.01*MAX(1,ABS(SUMIF(B6:B11,"бояу",C6:C11))),FALSE))),"✗ жауап дұрыс емес — формуланы тексер","✓ дұрыс"))))</f>
        <v/>
      </c>
    </row>
    <row r="7">
      <c r="A7" s="6" t="inlineStr">
        <is>
          <t>Көк бояу</t>
        </is>
      </c>
      <c r="B7" s="6" t="inlineStr">
        <is>
          <t>бояу</t>
        </is>
      </c>
      <c r="C7" s="6" t="n">
        <v>9500</v>
      </c>
      <c r="D7" s="6" t="n"/>
      <c r="E7" s="4" t="n"/>
      <c r="F7" s="6" t="n"/>
      <c r="G7" s="6" t="n"/>
      <c r="H7" s="6" t="n"/>
      <c r="J7" s="8" t="n">
        <v>6</v>
      </c>
      <c r="K7" s="8" t="inlineStr">
        <is>
          <t>ABS</t>
        </is>
      </c>
      <c r="L7" s="8" t="inlineStr">
        <is>
          <t>Смета бюджеттен қаншаға өзгеше? Жауабы минуссыз.</t>
        </is>
      </c>
      <c r="M7" s="8" t="inlineStr">
        <is>
          <t>E6</t>
        </is>
      </c>
      <c r="N7" s="9">
        <f>IF(ISBLANK(E6),"—",IF( OR(NOT(_xlfn.ISFORMULA(E6))),"✗ сан емес, формула керек",IF(NOT(OR(ISNUMBER(SEARCH("ABS(",IFERROR(_xlfn.FORMULATEXT(E6),""))),ISNUMBER(SEARCH("ABS(",IFERROR(_xlfn.FORMULATEXT(E6),""))))),"✗ ABS функциясы керек",IF(NOT(AND(IFERROR(ABS(E6-(ABS(B3-SUM(C6:C11))))&lt;=0.01*MAX(1,ABS(ABS(B3-SUM(C6:C11)))),FALSE))),"✗ жауап дұрыс емес — формуланы тексер","✓ дұрыс"))))</f>
        <v/>
      </c>
    </row>
    <row r="8">
      <c r="A8" s="6" t="inlineStr">
        <is>
          <t>Тұсқағаз</t>
        </is>
      </c>
      <c r="B8" s="6" t="inlineStr">
        <is>
          <t>тұсқағаз</t>
        </is>
      </c>
      <c r="C8" s="6" t="n">
        <v>35000</v>
      </c>
      <c r="D8" s="6" t="n"/>
      <c r="E8" s="6" t="n"/>
      <c r="F8" s="6" t="n"/>
      <c r="G8" s="6" t="n"/>
      <c r="H8" s="6" t="n"/>
      <c r="J8" s="8" t="n">
        <v>7</v>
      </c>
      <c r="K8" s="8" t="inlineStr">
        <is>
          <t>күрделі: бояудан басқасының бәрі</t>
        </is>
      </c>
      <c r="L8" s="8" t="inlineStr">
        <is>
          <t>Тұсқағаз, желім және құралдар — бояудан басқасының бәрі қанша тұрады? Екі функциядан тұратын бір формула.</t>
        </is>
      </c>
      <c r="M8" s="8" t="inlineStr">
        <is>
          <t>E7</t>
        </is>
      </c>
      <c r="N8" s="9">
        <f>IF(ISBLANK(E7),"—",IF( OR(NOT(_xlfn.ISFORMULA(E7))),"✗ сан емес, формула керек",IF(NOT(OR(ISNUMBER(SEARCH("СУММ(",IFERROR(_xlfn.FORMULATEXT(E7),""))),ISNUMBER(SEARCH("SUM(",IFERROR(_xlfn.FORMULATEXT(E7),""))))),"✗ СУММ функциясы керек",IF(NOT(OR(ISNUMBER(SEARCH("СУММЕСЛИ(",IFERROR(_xlfn.FORMULATEXT(E7),""))),ISNUMBER(SEARCH("SUMIF(",IFERROR(_xlfn.FORMULATEXT(E7),""))))),"✗ СУММЕСЛИ функциясы керек",IF(NOT(AND(IFERROR(ABS(E7-(SUM(C6:C11)-SUMIF(B6:B11,"бояу",C6:C11)))&lt;=0.01*MAX(1,ABS(SUM(C6:C11)-SUMIF(B6:B11,"бояу",C6:C11))),FALSE))),"✗ жауап дұрыс емес — формуланы тексер","✓ дұрыс")))))</f>
        <v/>
      </c>
    </row>
    <row r="9">
      <c r="A9" s="6" t="inlineStr">
        <is>
          <t>Желім</t>
        </is>
      </c>
      <c r="B9" s="6" t="inlineStr">
        <is>
          <t>тұсқағаз</t>
        </is>
      </c>
      <c r="C9" s="6" t="n">
        <v>4500</v>
      </c>
      <c r="D9" s="6" t="n"/>
      <c r="E9" s="6" t="n"/>
      <c r="F9" s="6" t="n"/>
      <c r="G9" s="6" t="n"/>
      <c r="H9" s="6" t="n"/>
      <c r="J9" s="8" t="n">
        <v>8</v>
      </c>
      <c r="K9" s="8" t="inlineStr">
        <is>
          <t>күрделі: ойлан</t>
        </is>
      </c>
      <c r="L9" s="8" t="inlineStr">
        <is>
          <t>Бюджет 60 000 тг-ге дейін қысқарды — B3-ті өзгерт. Енді E6-да не тұр? Мұнда ABS неге алдауы мүмкін?</t>
        </is>
      </c>
      <c r="M9" s="8" t="inlineStr">
        <is>
          <t>E6</t>
        </is>
      </c>
      <c r="N9" s="9">
        <f>IF(ISBLANK(E6),"—",IF(NOT(B3=60000),"✗ алдымен B3 мәнін 60000 деп өзгерт",IF( OR(NOT(_xlfn.ISFORMULA(E6))),"✗ сан емес, формула керек",IF(NOT(OR(ISNUMBER(SEARCH("ABS(",IFERROR(_xlfn.FORMULATEXT(E6),""))),ISNUMBER(SEARCH("ABS(",IFERROR(_xlfn.FORMULATEXT(E6),""))))),"✗ ABS функциясы керек",IF(NOT(AND(IFERROR(ABS(E6-(ABS(B3-SUM(C6:C11))))&lt;=0.01*MAX(1,ABS(ABS(B3-SUM(C6:C11)))),FALSE))),"✗ жауап дұрыс емес — формуланы тексер","✓ дұрыс")))))</f>
        <v/>
      </c>
    </row>
    <row r="10">
      <c r="A10" s="6" t="inlineStr">
        <is>
          <t>Валик</t>
        </is>
      </c>
      <c r="B10" s="6" t="inlineStr">
        <is>
          <t>құрал</t>
        </is>
      </c>
      <c r="C10" s="6" t="n">
        <v>3000</v>
      </c>
      <c r="D10" s="6" t="n"/>
      <c r="E10" s="6" t="n"/>
      <c r="F10" s="6" t="n"/>
      <c r="G10" s="6" t="n"/>
      <c r="H10" s="6" t="n"/>
    </row>
    <row r="11">
      <c r="A11" s="6" t="inlineStr">
        <is>
          <t>Қол басы</t>
        </is>
      </c>
      <c r="B11" s="6" t="inlineStr">
        <is>
          <t>құрал</t>
        </is>
      </c>
      <c r="C11" s="6" t="n">
        <v>2500</v>
      </c>
      <c r="D11" s="6" t="n"/>
      <c r="E11" s="6" t="n"/>
      <c r="F11" s="6" t="n"/>
      <c r="G11" s="6" t="n"/>
      <c r="H11" s="6" t="n"/>
      <c r="L11" s="10" t="inlineStr">
        <is>
          <t>Орындалған қадамдар:</t>
        </is>
      </c>
      <c r="N11" s="11">
        <f>COUNTIF(N2:N9,"✓*")&amp;" / 8"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N2:N9">
    <cfRule type="expression" priority="1" dxfId="0">
      <formula>LEFT(N2,1)="✓"</formula>
    </cfRule>
    <cfRule type="expression" priority="2" dxfId="1">
      <formula>LEFT(N2,1)="✗"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2" max="2"/>
    <col width="16" customWidth="1" min="3" max="3"/>
  </cols>
  <sheetData>
    <row r="1">
      <c r="A1" s="1" t="inlineStr">
        <is>
          <t>Өзін-өзі тексеру қорытындысы</t>
        </is>
      </c>
    </row>
    <row r="2">
      <c r="A2">
        <f>"Оқушы: "&amp;Басы!B4&amp;", "&amp;Басы!B3</f>
        <v/>
      </c>
    </row>
    <row r="4">
      <c r="A4" s="7" t="inlineStr">
        <is>
          <t>Сценарий</t>
        </is>
      </c>
      <c r="B4" s="7" t="inlineStr">
        <is>
          <t>Атауы</t>
        </is>
      </c>
      <c r="C4" s="7" t="inlineStr">
        <is>
          <t>Функция</t>
        </is>
      </c>
      <c r="D4" s="7" t="inlineStr">
        <is>
          <t>Дұрыс</t>
        </is>
      </c>
      <c r="E4" s="7" t="inlineStr">
        <is>
          <t>Барлығы</t>
        </is>
      </c>
    </row>
    <row r="5">
      <c r="A5" t="inlineStr">
        <is>
          <t>S1</t>
        </is>
      </c>
      <c r="B5" t="inlineStr">
        <is>
          <t>Екі дүкендегі кеңсе тауарлары</t>
        </is>
      </c>
      <c r="C5" t="inlineStr">
        <is>
          <t>СУММ</t>
        </is>
      </c>
      <c r="D5">
        <f>COUNTIF(S1!N2:N9,"✓*")</f>
        <v/>
      </c>
      <c r="E5" t="n">
        <v>8</v>
      </c>
    </row>
    <row r="6">
      <c r="A6" t="inlineStr">
        <is>
          <t>S2</t>
        </is>
      </c>
      <c r="B6" t="inlineStr">
        <is>
          <t>Ауа райы күнделігі</t>
        </is>
      </c>
      <c r="C6" t="inlineStr">
        <is>
          <t>ABS</t>
        </is>
      </c>
      <c r="D6">
        <f>COUNTIF(S2!N2:N9,"✓*")</f>
        <v/>
      </c>
      <c r="E6" t="n">
        <v>8</v>
      </c>
    </row>
    <row r="7">
      <c r="A7" t="inlineStr">
        <is>
          <t>S3</t>
        </is>
      </c>
      <c r="B7" t="inlineStr">
        <is>
          <t>Шаршы учаскелер</t>
        </is>
      </c>
      <c r="C7" t="inlineStr">
        <is>
          <t>КОРЕНЬ</t>
        </is>
      </c>
      <c r="D7">
        <f>COUNTIF(S3!N2:N9,"✓*")</f>
        <v/>
      </c>
      <c r="E7" t="n">
        <v>8</v>
      </c>
    </row>
    <row r="8">
      <c r="A8" t="inlineStr">
        <is>
          <t>S4</t>
        </is>
      </c>
      <c r="B8" t="inlineStr">
        <is>
          <t>Дәрежелер кестесі</t>
        </is>
      </c>
      <c r="C8" t="inlineStr">
        <is>
          <t>СТЕПЕНЬ</t>
        </is>
      </c>
      <c r="D8">
        <f>COUNTIF(S4!N2:N9,"✓*")</f>
        <v/>
      </c>
      <c r="E8" t="n">
        <v>8</v>
      </c>
    </row>
    <row r="9">
      <c r="A9" t="inlineStr">
        <is>
          <t>S5</t>
        </is>
      </c>
      <c r="B9" t="inlineStr">
        <is>
          <t>Аптадағы қалта ақша</t>
        </is>
      </c>
      <c r="C9" t="inlineStr">
        <is>
          <t>СУММЕСЛИ</t>
        </is>
      </c>
      <c r="D9">
        <f>COUNTIF(S5!N2:N9,"✓*")</f>
        <v/>
      </c>
      <c r="E9" t="n">
        <v>8</v>
      </c>
    </row>
    <row r="10">
      <c r="A10" t="inlineStr">
        <is>
          <t>S6</t>
        </is>
      </c>
      <c r="B10" t="inlineStr">
        <is>
          <t>Шаршы бөлмені жөндеу</t>
        </is>
      </c>
      <c r="C10" t="inlineStr">
        <is>
          <t>барлық функция</t>
        </is>
      </c>
      <c r="D10">
        <f>COUNTIF(S6!N2:N9,"✓*")</f>
        <v/>
      </c>
      <c r="E10" t="n">
        <v>8</v>
      </c>
    </row>
    <row r="11">
      <c r="B11" s="10" t="inlineStr">
        <is>
          <t>Барлығы</t>
        </is>
      </c>
      <c r="D11" s="10">
        <f>SUM(D5:D10)</f>
        <v/>
      </c>
      <c r="E11" s="10">
        <f>SUM(E5:E10)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2026-10-24T17:33:02Z</dcterms:created>
  <dcterms:modified xmlns:dcterms="http://purl.org/dc/terms/" xmlns:xsi="http://www.w3.org/2001/XMLSchema-instance" xsi:type="dcterms:W3CDTF">2026-10-24T17:33:02Z</dcterms:modified>
</cp:coreProperties>
</file>