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Қалай қолдану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«Excel-де жұмыс» кезеңінің кілті («Математикалық функциялар» сабағы, 8 сынып).</t>
        </is>
      </c>
    </row>
    <row r="2">
      <c r="A2" t="inlineStr">
        <is>
          <t>S1–S6 парақтарында — оқушылар толтыратын сценарий кестесі және барлық формула жазылған (сары ұяшықтар).</t>
        </is>
      </c>
    </row>
    <row r="3">
      <c r="A3" t="inlineStr">
        <is>
          <t>Әр парақтың оң жағында — қадамдар: ұяшық, орыс тіліндегі Excel-дегі формула және дұрыс жауап.</t>
        </is>
      </c>
    </row>
    <row r="4">
      <c r="A4" t="inlineStr">
        <is>
          <t>«Өзгерт …» деген қадамдарды оқушы деректерді өзгертіп орындайды; файлда бастапқы деректер, ал қадамдар кестесіндегі жауап — өзгерткеннен кейін.</t>
        </is>
      </c>
    </row>
    <row r="5">
      <c r="A5" t="inlineStr">
        <is>
          <t>Формулалар орыс тіліндегі Excel оларды орысша көрсететіндей жазылған: СУММ, ABS, КОРЕНЬ, СТЕПЕНЬ, СУММЕСЛИ. Функция атаулары Excel-дің тіліне байланысты көрсетіледі.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" customWidth="1" min="10" max="10"/>
    <col width="26" customWidth="1" min="11" max="11"/>
    <col width="8" customWidth="1" min="12" max="12"/>
    <col width="44" customWidth="1" min="13" max="13"/>
    <col width="12" customWidth="1" min="14" max="14"/>
  </cols>
  <sheetData>
    <row r="1">
      <c r="A1" s="1" t="inlineStr">
        <is>
          <t>Тауар</t>
        </is>
      </c>
      <c r="B1" s="1" t="inlineStr">
        <is>
          <t>1-дүкен</t>
        </is>
      </c>
      <c r="C1" s="1" t="inlineStr">
        <is>
          <t>2-дүкен</t>
        </is>
      </c>
      <c r="J1" s="2" t="inlineStr">
        <is>
          <t>Қадам</t>
        </is>
      </c>
      <c r="K1" s="2" t="inlineStr">
        <is>
          <t>Қадам түрі</t>
        </is>
      </c>
      <c r="L1" s="2" t="inlineStr">
        <is>
          <t>Ұяшық</t>
        </is>
      </c>
      <c r="M1" s="2" t="inlineStr">
        <is>
          <t>Формула (орыс тіліндегі Excel)</t>
        </is>
      </c>
      <c r="N1" s="2" t="inlineStr">
        <is>
          <t>Жауап</t>
        </is>
      </c>
    </row>
    <row r="2">
      <c r="A2" t="inlineStr">
        <is>
          <t>Дәптер</t>
        </is>
      </c>
      <c r="B2" t="n">
        <v>150</v>
      </c>
      <c r="C2" t="n">
        <v>140</v>
      </c>
      <c r="E2" s="3">
        <f>SUM(B2,B3,B6)</f>
        <v/>
      </c>
      <c r="J2" s="4" t="n">
        <v>1</v>
      </c>
      <c r="K2" s="4" t="inlineStr">
        <is>
          <t>ауқым</t>
        </is>
      </c>
      <c r="L2" s="4" t="inlineStr">
        <is>
          <t>B8</t>
        </is>
      </c>
      <c r="M2" s="4" t="inlineStr">
        <is>
          <t>=СУММ(B2:B7)</t>
        </is>
      </c>
      <c r="N2" s="4" t="n">
        <v>2110</v>
      </c>
    </row>
    <row r="3">
      <c r="A3" t="inlineStr">
        <is>
          <t>Қалам</t>
        </is>
      </c>
      <c r="B3" t="n">
        <v>120</v>
      </c>
      <c r="C3" t="n">
        <v>130</v>
      </c>
      <c r="E3" s="3">
        <f>SUM(B2,B3,500)</f>
        <v/>
      </c>
      <c r="J3" s="4" t="n">
        <v>2</v>
      </c>
      <c r="K3" s="4" t="inlineStr">
        <is>
          <t>Σ батырмасы</t>
        </is>
      </c>
      <c r="L3" s="4" t="inlineStr">
        <is>
          <t>C8</t>
        </is>
      </c>
      <c r="M3" s="4" t="inlineStr">
        <is>
          <t>=СУММ(C2:C7)</t>
        </is>
      </c>
      <c r="N3" s="4" t="n">
        <v>2010</v>
      </c>
    </row>
    <row r="4">
      <c r="A4" t="inlineStr">
        <is>
          <t>Қарындаш</t>
        </is>
      </c>
      <c r="B4" t="n">
        <v>80</v>
      </c>
      <c r="C4" t="n">
        <v>70</v>
      </c>
      <c r="E4" s="3">
        <f>SUM(B2:B4,B7)</f>
        <v/>
      </c>
      <c r="J4" s="4" t="n">
        <v>3</v>
      </c>
      <c r="K4" s="4" t="inlineStr">
        <is>
          <t>жеке ұяшықтар</t>
        </is>
      </c>
      <c r="L4" s="4" t="inlineStr">
        <is>
          <t>E2</t>
        </is>
      </c>
      <c r="M4" s="4" t="inlineStr">
        <is>
          <t>=СУММ(B2;B3;B6)</t>
        </is>
      </c>
      <c r="N4" s="4" t="n">
        <v>330</v>
      </c>
    </row>
    <row r="5">
      <c r="A5" t="inlineStr">
        <is>
          <t>Сызғыш</t>
        </is>
      </c>
      <c r="B5" t="n">
        <v>200</v>
      </c>
      <c r="C5" t="n">
        <v>220</v>
      </c>
      <c r="E5" s="3">
        <f>SUM(B2:B7,C2:C7)</f>
        <v/>
      </c>
      <c r="J5" s="4" t="n">
        <v>4</v>
      </c>
      <c r="K5" s="4" t="inlineStr">
        <is>
          <t>ұяшықтар + сан</t>
        </is>
      </c>
      <c r="L5" s="4" t="inlineStr">
        <is>
          <t>E3</t>
        </is>
      </c>
      <c r="M5" s="4" t="inlineStr">
        <is>
          <t>=СУММ(B2;B3;500)</t>
        </is>
      </c>
      <c r="N5" s="4" t="n">
        <v>770</v>
      </c>
    </row>
    <row r="6">
      <c r="A6" t="inlineStr">
        <is>
          <t>Өшіргіш</t>
        </is>
      </c>
      <c r="B6" t="n">
        <v>60</v>
      </c>
      <c r="C6" t="n">
        <v>50</v>
      </c>
      <c r="E6" s="3">
        <f>SUM(B2:C7)</f>
        <v/>
      </c>
      <c r="J6" s="4" t="n">
        <v>5</v>
      </c>
      <c r="K6" s="4" t="inlineStr">
        <is>
          <t>ауқым + ұяшық</t>
        </is>
      </c>
      <c r="L6" s="4" t="inlineStr">
        <is>
          <t>E4</t>
        </is>
      </c>
      <c r="M6" s="4" t="inlineStr">
        <is>
          <t>=СУММ(B2:B4;B7)</t>
        </is>
      </c>
      <c r="N6" s="4" t="n">
        <v>1850</v>
      </c>
    </row>
    <row r="7">
      <c r="A7" t="inlineStr">
        <is>
          <t>Қаламсауыт</t>
        </is>
      </c>
      <c r="B7" t="n">
        <v>1500</v>
      </c>
      <c r="C7" t="n">
        <v>1400</v>
      </c>
      <c r="J7" s="4" t="n">
        <v>6</v>
      </c>
      <c r="K7" s="4" t="inlineStr">
        <is>
          <t>екі ауқым</t>
        </is>
      </c>
      <c r="L7" s="4" t="inlineStr">
        <is>
          <t>E5</t>
        </is>
      </c>
      <c r="M7" s="4" t="inlineStr">
        <is>
          <t>=СУММ(B2:B7;C2:C7)</t>
        </is>
      </c>
      <c r="N7" s="4" t="n">
        <v>4120</v>
      </c>
    </row>
    <row r="8">
      <c r="A8" t="inlineStr">
        <is>
          <t>Жиыны</t>
        </is>
      </c>
      <c r="B8" s="3">
        <f>SUM(B2:B7)</f>
        <v/>
      </c>
      <c r="C8" s="3">
        <f>SUM(C2:C7)</f>
        <v/>
      </c>
      <c r="J8" s="4" t="n">
        <v>7</v>
      </c>
      <c r="K8" s="4" t="inlineStr">
        <is>
          <t>тіктөртбұрыш</t>
        </is>
      </c>
      <c r="L8" s="4" t="inlineStr">
        <is>
          <t>E6</t>
        </is>
      </c>
      <c r="M8" s="4" t="inlineStr">
        <is>
          <t>=СУММ(B2:C7)</t>
        </is>
      </c>
      <c r="N8" s="4" t="n">
        <v>4120</v>
      </c>
    </row>
    <row r="9">
      <c r="J9" s="4" t="n">
        <v>8</v>
      </c>
      <c r="K9" s="4" t="inlineStr">
        <is>
          <t>күрделі: автоқайта есептеу</t>
        </is>
      </c>
      <c r="L9" s="4" t="inlineStr">
        <is>
          <t>B8</t>
        </is>
      </c>
      <c r="M9" s="4" t="inlineStr">
        <is>
          <t>өзгерт: B7 → 1200</t>
        </is>
      </c>
      <c r="N9" s="4" t="n">
        <v>1810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" customWidth="1" min="10" max="10"/>
    <col width="26" customWidth="1" min="11" max="11"/>
    <col width="8" customWidth="1" min="12" max="12"/>
    <col width="44" customWidth="1" min="13" max="13"/>
    <col width="12" customWidth="1" min="14" max="14"/>
  </cols>
  <sheetData>
    <row r="1">
      <c r="A1" s="1" t="inlineStr">
        <is>
          <t>Күн</t>
        </is>
      </c>
      <c r="B1" s="1" t="inlineStr">
        <is>
          <t>Таңғы</t>
        </is>
      </c>
      <c r="C1" s="1" t="inlineStr">
        <is>
          <t>Кешкі</t>
        </is>
      </c>
      <c r="D1" s="1" t="inlineStr">
        <is>
          <t>Өзгеріс</t>
        </is>
      </c>
      <c r="E1" s="1" t="inlineStr">
        <is>
          <t>ABS-сіз</t>
        </is>
      </c>
      <c r="J1" s="2" t="inlineStr">
        <is>
          <t>Қадам</t>
        </is>
      </c>
      <c r="K1" s="2" t="inlineStr">
        <is>
          <t>Қадам түрі</t>
        </is>
      </c>
      <c r="L1" s="2" t="inlineStr">
        <is>
          <t>Ұяшық</t>
        </is>
      </c>
      <c r="M1" s="2" t="inlineStr">
        <is>
          <t>Формула (орыс тіліндегі Excel)</t>
        </is>
      </c>
      <c r="N1" s="2" t="inlineStr">
        <is>
          <t>Жауап</t>
        </is>
      </c>
    </row>
    <row r="2">
      <c r="A2" t="inlineStr">
        <is>
          <t>Дс</t>
        </is>
      </c>
      <c r="B2" t="n">
        <v>-3</v>
      </c>
      <c r="C2" t="n">
        <v>4</v>
      </c>
      <c r="D2" s="3">
        <f>ABS(C2-B2)</f>
        <v/>
      </c>
      <c r="E2" s="3">
        <f>C2-B2</f>
        <v/>
      </c>
      <c r="G2" s="3">
        <f>ABS(-12)</f>
        <v/>
      </c>
      <c r="J2" s="4" t="n">
        <v>1</v>
      </c>
      <c r="K2" s="4" t="inlineStr">
        <is>
          <t>санның модулі</t>
        </is>
      </c>
      <c r="L2" s="4" t="inlineStr">
        <is>
          <t>G2</t>
        </is>
      </c>
      <c r="M2" s="4" t="inlineStr">
        <is>
          <t>=ABS(-12)</t>
        </is>
      </c>
      <c r="N2" s="4" t="n">
        <v>12</v>
      </c>
    </row>
    <row r="3">
      <c r="A3" t="inlineStr">
        <is>
          <t>Сс</t>
        </is>
      </c>
      <c r="B3" t="n">
        <v>2</v>
      </c>
      <c r="C3" t="n">
        <v>-2</v>
      </c>
      <c r="D3" s="3">
        <f>ABS(C3-B3)</f>
        <v/>
      </c>
      <c r="E3" s="3">
        <f>C3-B3</f>
        <v/>
      </c>
      <c r="G3" s="3">
        <f>ABS(B2)</f>
        <v/>
      </c>
      <c r="J3" s="4" t="n">
        <v>2</v>
      </c>
      <c r="K3" s="4" t="inlineStr">
        <is>
          <t>ұяшықтың модулі</t>
        </is>
      </c>
      <c r="L3" s="4" t="inlineStr">
        <is>
          <t>G3</t>
        </is>
      </c>
      <c r="M3" s="4" t="inlineStr">
        <is>
          <t>=ABS(B2)</t>
        </is>
      </c>
      <c r="N3" s="4" t="n">
        <v>3</v>
      </c>
    </row>
    <row r="4">
      <c r="A4" t="inlineStr">
        <is>
          <t>Ср</t>
        </is>
      </c>
      <c r="B4" t="n">
        <v>-6</v>
      </c>
      <c r="C4" t="n">
        <v>-1</v>
      </c>
      <c r="D4" s="3">
        <f>ABS(C4-B4)</f>
        <v/>
      </c>
      <c r="E4" s="3">
        <f>C4-B4</f>
        <v/>
      </c>
      <c r="G4" s="3">
        <f>SUM(D2:D8)</f>
        <v/>
      </c>
      <c r="J4" s="4" t="n">
        <v>3</v>
      </c>
      <c r="K4" s="4" t="inlineStr">
        <is>
          <t>ABS-сіз айырма</t>
        </is>
      </c>
      <c r="L4" s="4" t="inlineStr">
        <is>
          <t>E3</t>
        </is>
      </c>
      <c r="M4" s="4" t="inlineStr">
        <is>
          <t>=C2-B2 және төмен созып көшіру</t>
        </is>
      </c>
      <c r="N4" s="4" t="n">
        <v>-4</v>
      </c>
    </row>
    <row r="5">
      <c r="A5" t="inlineStr">
        <is>
          <t>Бс</t>
        </is>
      </c>
      <c r="B5" t="n">
        <v>0</v>
      </c>
      <c r="C5" t="n">
        <v>3</v>
      </c>
      <c r="D5" s="3">
        <f>ABS(C5-B5)</f>
        <v/>
      </c>
      <c r="E5" s="3">
        <f>C5-B5</f>
        <v/>
      </c>
      <c r="G5" s="3">
        <f>SUM(E2:E8)</f>
        <v/>
      </c>
      <c r="J5" s="4" t="n">
        <v>4</v>
      </c>
      <c r="K5" s="4" t="inlineStr">
        <is>
          <t>Айырманың ABS-і</t>
        </is>
      </c>
      <c r="L5" s="4" t="inlineStr">
        <is>
          <t>D3</t>
        </is>
      </c>
      <c r="M5" s="4" t="inlineStr">
        <is>
          <t>=ABS(C2-B2) және төмен созып көшіру</t>
        </is>
      </c>
      <c r="N5" s="4" t="n">
        <v>4</v>
      </c>
    </row>
    <row r="6">
      <c r="A6" t="inlineStr">
        <is>
          <t>Жм</t>
        </is>
      </c>
      <c r="B6" t="n">
        <v>4</v>
      </c>
      <c r="C6" t="n">
        <v>8</v>
      </c>
      <c r="D6" s="3">
        <f>ABS(C6-B6)</f>
        <v/>
      </c>
      <c r="E6" s="3">
        <f>C6-B6</f>
        <v/>
      </c>
      <c r="G6" s="3">
        <f>ABS(B8-B2)</f>
        <v/>
      </c>
      <c r="J6" s="4" t="n">
        <v>5</v>
      </c>
      <c r="K6" s="4" t="inlineStr">
        <is>
          <t>созып көшіруді тексеру</t>
        </is>
      </c>
      <c r="L6" s="4" t="inlineStr">
        <is>
          <t>D4</t>
        </is>
      </c>
      <c r="M6" s="4" t="inlineStr"/>
      <c r="N6" s="4" t="n">
        <v>5</v>
      </c>
    </row>
    <row r="7">
      <c r="A7" t="inlineStr">
        <is>
          <t>Сн</t>
        </is>
      </c>
      <c r="B7" t="n">
        <v>-1</v>
      </c>
      <c r="C7" t="n">
        <v>-5</v>
      </c>
      <c r="D7" s="3">
        <f>ABS(C7-B7)</f>
        <v/>
      </c>
      <c r="E7" s="3">
        <f>C7-B7</f>
        <v/>
      </c>
      <c r="J7" s="4" t="n">
        <v>6</v>
      </c>
      <c r="K7" s="4" t="inlineStr">
        <is>
          <t>күрделі: СУММ + ABS</t>
        </is>
      </c>
      <c r="L7" s="4" t="inlineStr">
        <is>
          <t>G4</t>
        </is>
      </c>
      <c r="M7" s="4" t="inlineStr">
        <is>
          <t>=СУММ(D2:D8)</t>
        </is>
      </c>
      <c r="N7" s="4" t="n">
        <v>31</v>
      </c>
    </row>
    <row r="8">
      <c r="A8" t="inlineStr">
        <is>
          <t>Жс</t>
        </is>
      </c>
      <c r="B8" t="n">
        <v>5</v>
      </c>
      <c r="C8" t="n">
        <v>9</v>
      </c>
      <c r="D8" s="3">
        <f>ABS(C8-B8)</f>
        <v/>
      </c>
      <c r="E8" s="3">
        <f>C8-B8</f>
        <v/>
      </c>
      <c r="J8" s="4" t="n">
        <v>7</v>
      </c>
      <c r="K8" s="4" t="inlineStr">
        <is>
          <t>күрделі: салыстыру</t>
        </is>
      </c>
      <c r="L8" s="4" t="inlineStr">
        <is>
          <t>G5</t>
        </is>
      </c>
      <c r="M8" s="4" t="inlineStr">
        <is>
          <t>=СУММ(E2:E8)</t>
        </is>
      </c>
      <c r="N8" s="4" t="n">
        <v>15</v>
      </c>
    </row>
    <row r="9">
      <c r="J9" s="4" t="n">
        <v>8</v>
      </c>
      <c r="K9" s="4" t="inlineStr">
        <is>
          <t>күрделі: бір формула</t>
        </is>
      </c>
      <c r="L9" s="4" t="inlineStr">
        <is>
          <t>G6</t>
        </is>
      </c>
      <c r="M9" s="4" t="inlineStr">
        <is>
          <t>=ABS(B8-B2)</t>
        </is>
      </c>
      <c r="N9" s="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" customWidth="1" min="10" max="10"/>
    <col width="26" customWidth="1" min="11" max="11"/>
    <col width="8" customWidth="1" min="12" max="12"/>
    <col width="44" customWidth="1" min="13" max="13"/>
    <col width="12" customWidth="1" min="14" max="14"/>
  </cols>
  <sheetData>
    <row r="1">
      <c r="A1" s="1" t="inlineStr">
        <is>
          <t>Учаске</t>
        </is>
      </c>
      <c r="B1" s="1" t="inlineStr">
        <is>
          <t>Ауданы, м²</t>
        </is>
      </c>
      <c r="C1" s="1" t="inlineStr">
        <is>
          <t>Қабырғасы, м</t>
        </is>
      </c>
      <c r="D1" s="1" t="inlineStr">
        <is>
          <t>Қоршау, м</t>
        </is>
      </c>
      <c r="J1" s="2" t="inlineStr">
        <is>
          <t>Қадам</t>
        </is>
      </c>
      <c r="K1" s="2" t="inlineStr">
        <is>
          <t>Қадам түрі</t>
        </is>
      </c>
      <c r="L1" s="2" t="inlineStr">
        <is>
          <t>Ұяшық</t>
        </is>
      </c>
      <c r="M1" s="2" t="inlineStr">
        <is>
          <t>Формула (орыс тіліндегі Excel)</t>
        </is>
      </c>
      <c r="N1" s="2" t="inlineStr">
        <is>
          <t>Жауап</t>
        </is>
      </c>
    </row>
    <row r="2">
      <c r="A2" t="inlineStr">
        <is>
          <t>Бақ</t>
        </is>
      </c>
      <c r="B2" t="n">
        <v>64</v>
      </c>
      <c r="C2" s="3">
        <f>SQRT(B2)</f>
        <v/>
      </c>
      <c r="D2" s="3">
        <f>SQRT(B2)*4</f>
        <v/>
      </c>
      <c r="F2" s="3">
        <f>SQRT(144)</f>
        <v/>
      </c>
      <c r="J2" s="4" t="n">
        <v>1</v>
      </c>
      <c r="K2" s="4" t="inlineStr">
        <is>
          <t>ұяшықтың түбірі</t>
        </is>
      </c>
      <c r="L2" s="4" t="inlineStr">
        <is>
          <t>C2</t>
        </is>
      </c>
      <c r="M2" s="4" t="inlineStr">
        <is>
          <t>=КОРЕНЬ(B2) және төмен созып көшіру</t>
        </is>
      </c>
      <c r="N2" s="4" t="n">
        <v>8</v>
      </c>
    </row>
    <row r="3">
      <c r="A3" t="inlineStr">
        <is>
          <t>Бақша</t>
        </is>
      </c>
      <c r="B3" t="n">
        <v>100</v>
      </c>
      <c r="C3" s="3">
        <f>SQRT(B3)</f>
        <v/>
      </c>
      <c r="F3" s="3">
        <f>SQRT(-25)</f>
        <v/>
      </c>
      <c r="J3" s="4" t="n">
        <v>2</v>
      </c>
      <c r="K3" s="4" t="inlineStr">
        <is>
          <t>созып көшіру</t>
        </is>
      </c>
      <c r="L3" s="4" t="inlineStr">
        <is>
          <t>C5</t>
        </is>
      </c>
      <c r="M3" s="4" t="inlineStr"/>
      <c r="N3" s="4" t="n">
        <v>15</v>
      </c>
    </row>
    <row r="4">
      <c r="A4" t="inlineStr">
        <is>
          <t>Гүлзар</t>
        </is>
      </c>
      <c r="B4" t="n">
        <v>2</v>
      </c>
      <c r="C4" s="3">
        <f>SQRT(B4)</f>
        <v/>
      </c>
      <c r="F4" s="3">
        <f>SQRT(ABS(-25))</f>
        <v/>
      </c>
      <c r="J4" s="4" t="n">
        <v>3</v>
      </c>
      <c r="K4" s="4" t="inlineStr">
        <is>
          <t>бөлшек жауап</t>
        </is>
      </c>
      <c r="L4" s="4" t="inlineStr">
        <is>
          <t>C4</t>
        </is>
      </c>
      <c r="M4" s="4" t="inlineStr"/>
      <c r="N4" s="4" t="n">
        <v>1.41</v>
      </c>
    </row>
    <row r="5">
      <c r="A5" t="inlineStr">
        <is>
          <t>Аула</t>
        </is>
      </c>
      <c r="B5" t="n">
        <v>225</v>
      </c>
      <c r="C5" s="3">
        <f>SQRT(B5)</f>
        <v/>
      </c>
      <c r="F5" s="3">
        <f>SQRT(C2*C2+C2*C2)</f>
        <v/>
      </c>
      <c r="J5" s="4" t="n">
        <v>4</v>
      </c>
      <c r="K5" s="4" t="inlineStr">
        <is>
          <t>санның түбірі</t>
        </is>
      </c>
      <c r="L5" s="4" t="inlineStr">
        <is>
          <t>F2</t>
        </is>
      </c>
      <c r="M5" s="4" t="inlineStr">
        <is>
          <t>=КОРЕНЬ(144)</t>
        </is>
      </c>
      <c r="N5" s="4" t="n">
        <v>12</v>
      </c>
    </row>
    <row r="6">
      <c r="A6" t="inlineStr">
        <is>
          <t>Жылыжай</t>
        </is>
      </c>
      <c r="B6" t="n">
        <v>50</v>
      </c>
      <c r="C6" s="3">
        <f>SQRT(B6)</f>
        <v/>
      </c>
      <c r="J6" s="4" t="n">
        <v>5</v>
      </c>
      <c r="K6" s="4" t="inlineStr">
        <is>
          <t>түбір × сан</t>
        </is>
      </c>
      <c r="L6" s="4" t="inlineStr">
        <is>
          <t>D2</t>
        </is>
      </c>
      <c r="M6" s="4" t="inlineStr">
        <is>
          <t>=КОРЕНЬ(B2)*4</t>
        </is>
      </c>
      <c r="N6" s="4" t="n">
        <v>32</v>
      </c>
    </row>
    <row r="7">
      <c r="J7" s="4" t="n">
        <v>6</v>
      </c>
      <c r="K7" s="4" t="inlineStr">
        <is>
          <t>қате</t>
        </is>
      </c>
      <c r="L7" s="4" t="inlineStr">
        <is>
          <t>F3</t>
        </is>
      </c>
      <c r="M7" s="4" t="inlineStr">
        <is>
          <t>=КОРЕНЬ(-25)</t>
        </is>
      </c>
      <c r="N7" s="4" t="inlineStr">
        <is>
          <t>#ЧИСЛО!</t>
        </is>
      </c>
    </row>
    <row r="8">
      <c r="J8" s="4" t="n">
        <v>7</v>
      </c>
      <c r="K8" s="4" t="inlineStr">
        <is>
          <t>қатені түзету</t>
        </is>
      </c>
      <c r="L8" s="4" t="inlineStr">
        <is>
          <t>F4</t>
        </is>
      </c>
      <c r="M8" s="4" t="inlineStr">
        <is>
          <t>=КОРЕНЬ(ABS(-25))</t>
        </is>
      </c>
      <c r="N8" s="4" t="n">
        <v>5</v>
      </c>
    </row>
    <row r="9">
      <c r="J9" s="4" t="n">
        <v>8</v>
      </c>
      <c r="K9" s="4" t="inlineStr">
        <is>
          <t>күрделі: Пифагор</t>
        </is>
      </c>
      <c r="L9" s="4" t="inlineStr">
        <is>
          <t>F5</t>
        </is>
      </c>
      <c r="M9" s="4" t="inlineStr">
        <is>
          <t>=КОРЕНЬ(C2*C2+C2*C2)</t>
        </is>
      </c>
      <c r="N9" s="4" t="n">
        <v>11.31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" customWidth="1" min="10" max="10"/>
    <col width="26" customWidth="1" min="11" max="11"/>
    <col width="8" customWidth="1" min="12" max="12"/>
    <col width="44" customWidth="1" min="13" max="13"/>
    <col width="12" customWidth="1" min="14" max="14"/>
  </cols>
  <sheetData>
    <row r="1">
      <c r="A1" s="1" t="inlineStr">
        <is>
          <t>Сан</t>
        </is>
      </c>
      <c r="B1" s="1" t="inlineStr">
        <is>
          <t>Дәреже</t>
        </is>
      </c>
      <c r="C1" s="1" t="inlineStr">
        <is>
          <t>СТЕПЕНЬ</t>
        </is>
      </c>
      <c r="D1" s="1" t="inlineStr">
        <is>
          <t>^ таңбасы</t>
        </is>
      </c>
      <c r="J1" s="2" t="inlineStr">
        <is>
          <t>Қадам</t>
        </is>
      </c>
      <c r="K1" s="2" t="inlineStr">
        <is>
          <t>Қадам түрі</t>
        </is>
      </c>
      <c r="L1" s="2" t="inlineStr">
        <is>
          <t>Ұяшық</t>
        </is>
      </c>
      <c r="M1" s="2" t="inlineStr">
        <is>
          <t>Формула (орыс тіліндегі Excel)</t>
        </is>
      </c>
      <c r="N1" s="2" t="inlineStr">
        <is>
          <t>Жауап</t>
        </is>
      </c>
    </row>
    <row r="2">
      <c r="A2" t="n">
        <v>2</v>
      </c>
      <c r="B2" t="n">
        <v>3</v>
      </c>
      <c r="C2" s="3">
        <f>POWER(A2,B2)</f>
        <v/>
      </c>
      <c r="D2" s="3">
        <f>A2^B2</f>
        <v/>
      </c>
      <c r="F2" s="3">
        <f>POWER(A2,10)</f>
        <v/>
      </c>
      <c r="J2" s="4" t="n">
        <v>1</v>
      </c>
      <c r="K2" s="4" t="inlineStr">
        <is>
          <t>екі ұяшық</t>
        </is>
      </c>
      <c r="L2" s="4" t="inlineStr">
        <is>
          <t>C2</t>
        </is>
      </c>
      <c r="M2" s="4" t="inlineStr">
        <is>
          <t>=СТЕПЕНЬ(A2;B2) және төмен созып көшіру</t>
        </is>
      </c>
      <c r="N2" s="4" t="n">
        <v>8</v>
      </c>
    </row>
    <row r="3">
      <c r="A3" t="n">
        <v>3</v>
      </c>
      <c r="B3" t="n">
        <v>2</v>
      </c>
      <c r="C3" s="3">
        <f>POWER(A3,B3)</f>
        <v/>
      </c>
      <c r="D3" s="3">
        <f>A3^B3</f>
        <v/>
      </c>
      <c r="F3" s="3">
        <f>POWER(7,3)</f>
        <v/>
      </c>
      <c r="J3" s="4" t="n">
        <v>2</v>
      </c>
      <c r="K3" s="4" t="inlineStr">
        <is>
          <t>созып көшіру</t>
        </is>
      </c>
      <c r="L3" s="4" t="inlineStr">
        <is>
          <t>C5</t>
        </is>
      </c>
      <c r="M3" s="4" t="inlineStr"/>
      <c r="N3" s="4" t="n">
        <v>10000</v>
      </c>
    </row>
    <row r="4">
      <c r="A4" t="n">
        <v>5</v>
      </c>
      <c r="B4" t="n">
        <v>0</v>
      </c>
      <c r="C4" s="3">
        <f>POWER(A4,B4)</f>
        <v/>
      </c>
      <c r="D4" s="3">
        <f>A4^B4</f>
        <v/>
      </c>
      <c r="F4" s="3">
        <f>POWER(81,0.5)</f>
        <v/>
      </c>
      <c r="J4" s="4" t="n">
        <v>3</v>
      </c>
      <c r="K4" s="4" t="inlineStr">
        <is>
          <t>теріс дәреже</t>
        </is>
      </c>
      <c r="L4" s="4" t="inlineStr">
        <is>
          <t>C6</t>
        </is>
      </c>
      <c r="M4" s="4" t="inlineStr"/>
      <c r="N4" s="4" t="n">
        <v>0.25</v>
      </c>
    </row>
    <row r="5">
      <c r="A5" t="n">
        <v>10</v>
      </c>
      <c r="B5" t="n">
        <v>4</v>
      </c>
      <c r="C5" s="3">
        <f>POWER(A5,B5)</f>
        <v/>
      </c>
      <c r="D5" s="3">
        <f>A5^B5</f>
        <v/>
      </c>
      <c r="F5" s="3">
        <f>100000*POWER(1.1,3)</f>
        <v/>
      </c>
      <c r="J5" s="4" t="n">
        <v>4</v>
      </c>
      <c r="K5" s="4" t="inlineStr">
        <is>
          <t>^ таңбасы</t>
        </is>
      </c>
      <c r="L5" s="4" t="inlineStr">
        <is>
          <t>D3</t>
        </is>
      </c>
      <c r="M5" s="4" t="inlineStr">
        <is>
          <t>=A2^B2 және төмен созып көшіру</t>
        </is>
      </c>
      <c r="N5" s="4" t="n">
        <v>9</v>
      </c>
    </row>
    <row r="6">
      <c r="A6" t="n">
        <v>4</v>
      </c>
      <c r="B6" t="n">
        <v>-1</v>
      </c>
      <c r="C6" s="3">
        <f>POWER(A6,B6)</f>
        <v/>
      </c>
      <c r="D6" s="3">
        <f>A6^B6</f>
        <v/>
      </c>
      <c r="J6" s="4" t="n">
        <v>5</v>
      </c>
      <c r="K6" s="4" t="inlineStr">
        <is>
          <t>ұяшық + сан</t>
        </is>
      </c>
      <c r="L6" s="4" t="inlineStr">
        <is>
          <t>F2</t>
        </is>
      </c>
      <c r="M6" s="4" t="inlineStr">
        <is>
          <t>=СТЕПЕНЬ(A2;10)</t>
        </is>
      </c>
      <c r="N6" s="4" t="n">
        <v>1024</v>
      </c>
    </row>
    <row r="7">
      <c r="J7" s="4" t="n">
        <v>6</v>
      </c>
      <c r="K7" s="4" t="inlineStr">
        <is>
          <t>кубтың көлемі</t>
        </is>
      </c>
      <c r="L7" s="4" t="inlineStr">
        <is>
          <t>F3</t>
        </is>
      </c>
      <c r="M7" s="4" t="inlineStr">
        <is>
          <t>=СТЕПЕНЬ(7;3)</t>
        </is>
      </c>
      <c r="N7" s="4" t="n">
        <v>343</v>
      </c>
    </row>
    <row r="8">
      <c r="J8" s="4" t="n">
        <v>7</v>
      </c>
      <c r="K8" s="4" t="inlineStr">
        <is>
          <t>күрделі: дәреже арқылы түбір</t>
        </is>
      </c>
      <c r="L8" s="4" t="inlineStr">
        <is>
          <t>F4</t>
        </is>
      </c>
      <c r="M8" s="4" t="inlineStr">
        <is>
          <t>=СТЕПЕНЬ(81;0,5)</t>
        </is>
      </c>
      <c r="N8" s="4" t="n">
        <v>9</v>
      </c>
    </row>
    <row r="9">
      <c r="J9" s="4" t="n">
        <v>8</v>
      </c>
      <c r="K9" s="4" t="inlineStr">
        <is>
          <t>күрделі: салым</t>
        </is>
      </c>
      <c r="L9" s="4" t="inlineStr">
        <is>
          <t>F5</t>
        </is>
      </c>
      <c r="M9" s="4" t="inlineStr">
        <is>
          <t>=100000*СТЕПЕНЬ(1,1;3)</t>
        </is>
      </c>
      <c r="N9" s="4" t="n">
        <v>133100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" customWidth="1" min="10" max="10"/>
    <col width="26" customWidth="1" min="11" max="11"/>
    <col width="8" customWidth="1" min="12" max="12"/>
    <col width="44" customWidth="1" min="13" max="13"/>
    <col width="12" customWidth="1" min="14" max="14"/>
  </cols>
  <sheetData>
    <row r="1">
      <c r="A1" s="1" t="inlineStr">
        <is>
          <t>Күн</t>
        </is>
      </c>
      <c r="B1" s="1" t="inlineStr">
        <is>
          <t>Санат</t>
        </is>
      </c>
      <c r="C1" s="1" t="inlineStr">
        <is>
          <t>Сомасы, тг</t>
        </is>
      </c>
      <c r="J1" s="2" t="inlineStr">
        <is>
          <t>Қадам</t>
        </is>
      </c>
      <c r="K1" s="2" t="inlineStr">
        <is>
          <t>Қадам түрі</t>
        </is>
      </c>
      <c r="L1" s="2" t="inlineStr">
        <is>
          <t>Ұяшық</t>
        </is>
      </c>
      <c r="M1" s="2" t="inlineStr">
        <is>
          <t>Формула (орыс тіліндегі Excel)</t>
        </is>
      </c>
      <c r="N1" s="2" t="inlineStr">
        <is>
          <t>Жауап</t>
        </is>
      </c>
    </row>
    <row r="2">
      <c r="A2" t="inlineStr">
        <is>
          <t>Дс</t>
        </is>
      </c>
      <c r="B2" t="inlineStr">
        <is>
          <t>кіріс</t>
        </is>
      </c>
      <c r="C2" t="n">
        <v>2000</v>
      </c>
      <c r="F2" s="3">
        <f>SUMIF(C2:C9,"&gt;0")</f>
        <v/>
      </c>
      <c r="J2" s="4" t="n">
        <v>1</v>
      </c>
      <c r="K2" s="4" t="inlineStr">
        <is>
          <t>шарт &gt;0</t>
        </is>
      </c>
      <c r="L2" s="4" t="inlineStr">
        <is>
          <t>F2</t>
        </is>
      </c>
      <c r="M2" s="4" t="inlineStr">
        <is>
          <t>=СУММЕСЛИ(C2:C9;"&gt;0")</t>
        </is>
      </c>
      <c r="N2" s="4" t="n">
        <v>3000</v>
      </c>
    </row>
    <row r="3">
      <c r="A3" t="inlineStr">
        <is>
          <t>Дс</t>
        </is>
      </c>
      <c r="B3" t="inlineStr">
        <is>
          <t>тамақ</t>
        </is>
      </c>
      <c r="C3" t="n">
        <v>-450</v>
      </c>
      <c r="F3" s="3">
        <f>SUMIF(C2:C9,"&lt;0")</f>
        <v/>
      </c>
      <c r="J3" s="4" t="n">
        <v>2</v>
      </c>
      <c r="K3" s="4" t="inlineStr">
        <is>
          <t>шарт &lt;0</t>
        </is>
      </c>
      <c r="L3" s="4" t="inlineStr">
        <is>
          <t>F3</t>
        </is>
      </c>
      <c r="M3" s="4" t="inlineStr">
        <is>
          <t>=СУММЕСЛИ(C2:C9;"&lt;0")</t>
        </is>
      </c>
      <c r="N3" s="4" t="n">
        <v>-3300</v>
      </c>
    </row>
    <row r="4">
      <c r="A4" t="inlineStr">
        <is>
          <t>Сс</t>
        </is>
      </c>
      <c r="B4" t="inlineStr">
        <is>
          <t>көлік</t>
        </is>
      </c>
      <c r="C4" t="n">
        <v>-200</v>
      </c>
      <c r="F4" s="3">
        <f>SUMIF(B2:B9,"тамақ",C2:C9)</f>
        <v/>
      </c>
      <c r="J4" s="4" t="n">
        <v>3</v>
      </c>
      <c r="K4" s="4" t="inlineStr">
        <is>
          <t>мәтін + қосу ауқымы</t>
        </is>
      </c>
      <c r="L4" s="4" t="inlineStr">
        <is>
          <t>F4</t>
        </is>
      </c>
      <c r="M4" s="4" t="inlineStr">
        <is>
          <t>=СУММЕСЛИ(B2:B9;"тамақ";C2:C9)</t>
        </is>
      </c>
      <c r="N4" s="4" t="n">
        <v>-1400</v>
      </c>
    </row>
    <row r="5">
      <c r="A5" t="inlineStr">
        <is>
          <t>Ср</t>
        </is>
      </c>
      <c r="B5" t="inlineStr">
        <is>
          <t>тамақ</t>
        </is>
      </c>
      <c r="C5" t="n">
        <v>-600</v>
      </c>
      <c r="E5" t="inlineStr">
        <is>
          <t>көлік</t>
        </is>
      </c>
      <c r="F5" s="3">
        <f>SUMIF(B2:B9,E5,C2:C9)</f>
        <v/>
      </c>
      <c r="J5" s="4" t="n">
        <v>4</v>
      </c>
      <c r="K5" s="4" t="inlineStr">
        <is>
          <t>ұяшықтағы шарт</t>
        </is>
      </c>
      <c r="L5" s="4" t="inlineStr">
        <is>
          <t>F5</t>
        </is>
      </c>
      <c r="M5" s="4" t="inlineStr">
        <is>
          <t>=СУММЕСЛИ(B2:B9;E5;C2:C9)</t>
        </is>
      </c>
      <c r="N5" s="4" t="n">
        <v>-400</v>
      </c>
    </row>
    <row r="6">
      <c r="A6" t="inlineStr">
        <is>
          <t>Бс</t>
        </is>
      </c>
      <c r="B6" t="inlineStr">
        <is>
          <t>ойындар</t>
        </is>
      </c>
      <c r="C6" t="n">
        <v>-1500</v>
      </c>
      <c r="F6" s="3">
        <f>SUMIF(C2:C9,"&lt;-500")</f>
        <v/>
      </c>
      <c r="J6" s="4" t="n">
        <v>5</v>
      </c>
      <c r="K6" s="4" t="inlineStr">
        <is>
          <t>саны бар шарт</t>
        </is>
      </c>
      <c r="L6" s="4" t="inlineStr">
        <is>
          <t>F6</t>
        </is>
      </c>
      <c r="M6" s="4" t="inlineStr">
        <is>
          <t>=СУММЕСЛИ(C2:C9;"&lt;-500")</t>
        </is>
      </c>
      <c r="N6" s="4" t="n">
        <v>-2100</v>
      </c>
    </row>
    <row r="7">
      <c r="A7" t="inlineStr">
        <is>
          <t>Жм</t>
        </is>
      </c>
      <c r="B7" t="inlineStr">
        <is>
          <t>кіріс</t>
        </is>
      </c>
      <c r="C7" t="n">
        <v>1000</v>
      </c>
      <c r="F7" s="3">
        <f>ABS(SUMIF(C2:C9,"&lt;0"))</f>
        <v/>
      </c>
      <c r="J7" s="4" t="n">
        <v>6</v>
      </c>
      <c r="K7" s="4" t="inlineStr">
        <is>
          <t>күрделі: минуссыз</t>
        </is>
      </c>
      <c r="L7" s="4" t="inlineStr">
        <is>
          <t>F7</t>
        </is>
      </c>
      <c r="M7" s="4" t="inlineStr">
        <is>
          <t>=ABS(СУММЕСЛИ(C2:C9;"&lt;0"))</t>
        </is>
      </c>
      <c r="N7" s="4" t="n">
        <v>3300</v>
      </c>
    </row>
    <row r="8">
      <c r="A8" t="inlineStr">
        <is>
          <t>Сн</t>
        </is>
      </c>
      <c r="B8" t="inlineStr">
        <is>
          <t>тамақ</t>
        </is>
      </c>
      <c r="C8" t="n">
        <v>-350</v>
      </c>
      <c r="F8" s="3">
        <f>SUM(C2:C9)</f>
        <v/>
      </c>
      <c r="J8" s="4" t="n">
        <v>7</v>
      </c>
      <c r="K8" s="4" t="inlineStr">
        <is>
          <t>күрделі: қалдық</t>
        </is>
      </c>
      <c r="L8" s="4" t="inlineStr">
        <is>
          <t>F8</t>
        </is>
      </c>
      <c r="M8" s="4" t="inlineStr">
        <is>
          <t>=СУММ(C2:C9)</t>
        </is>
      </c>
      <c r="N8" s="4" t="n">
        <v>-300</v>
      </c>
    </row>
    <row r="9">
      <c r="A9" t="inlineStr">
        <is>
          <t>Жс</t>
        </is>
      </c>
      <c r="B9" t="inlineStr">
        <is>
          <t>көлік</t>
        </is>
      </c>
      <c r="C9" t="n">
        <v>-200</v>
      </c>
      <c r="J9" s="4" t="n">
        <v>8</v>
      </c>
      <c r="K9" s="4" t="inlineStr">
        <is>
          <t>күрделі: шартты ауыстыру</t>
        </is>
      </c>
      <c r="L9" s="4" t="inlineStr">
        <is>
          <t>F5</t>
        </is>
      </c>
      <c r="M9" s="4" t="inlineStr">
        <is>
          <t>өзгерт: E5 → ойындар</t>
        </is>
      </c>
      <c r="N9" s="4" t="n">
        <v>-1500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" customWidth="1" min="10" max="10"/>
    <col width="26" customWidth="1" min="11" max="11"/>
    <col width="8" customWidth="1" min="12" max="12"/>
    <col width="44" customWidth="1" min="13" max="13"/>
    <col width="12" customWidth="1" min="14" max="14"/>
  </cols>
  <sheetData>
    <row r="1">
      <c r="A1" s="1" t="inlineStr">
        <is>
          <t>Еден ауданы, м²</t>
        </is>
      </c>
      <c r="B1" s="1" t="n">
        <v>16</v>
      </c>
      <c r="E1" s="3">
        <f>SQRT(B1)</f>
        <v/>
      </c>
      <c r="J1" s="2" t="inlineStr">
        <is>
          <t>Қадам</t>
        </is>
      </c>
      <c r="K1" s="2" t="inlineStr">
        <is>
          <t>Қадам түрі</t>
        </is>
      </c>
      <c r="L1" s="2" t="inlineStr">
        <is>
          <t>Ұяшық</t>
        </is>
      </c>
      <c r="M1" s="2" t="inlineStr">
        <is>
          <t>Формула (орыс тіліндегі Excel)</t>
        </is>
      </c>
      <c r="N1" s="2" t="inlineStr">
        <is>
          <t>Жауап</t>
        </is>
      </c>
    </row>
    <row r="2">
      <c r="A2" t="inlineStr">
        <is>
          <t>Қабырға биіктігі, м</t>
        </is>
      </c>
      <c r="B2" t="n">
        <v>2.5</v>
      </c>
      <c r="E2" s="3">
        <f>POWER(E1,2)</f>
        <v/>
      </c>
      <c r="J2" s="4" t="n">
        <v>1</v>
      </c>
      <c r="K2" s="4" t="inlineStr">
        <is>
          <t>КОРЕНЬ</t>
        </is>
      </c>
      <c r="L2" s="4" t="inlineStr">
        <is>
          <t>E1</t>
        </is>
      </c>
      <c r="M2" s="4" t="inlineStr">
        <is>
          <t>=КОРЕНЬ(B1)</t>
        </is>
      </c>
      <c r="N2" s="4" t="n">
        <v>4</v>
      </c>
    </row>
    <row r="3">
      <c r="A3" t="inlineStr">
        <is>
          <t>Бюджет, тг</t>
        </is>
      </c>
      <c r="B3" t="n">
        <v>100000</v>
      </c>
      <c r="E3" s="3">
        <f>4*E1*B2</f>
        <v/>
      </c>
      <c r="J3" s="4" t="n">
        <v>2</v>
      </c>
      <c r="K3" s="4" t="inlineStr">
        <is>
          <t>СТЕПЕНЬ</t>
        </is>
      </c>
      <c r="L3" s="4" t="inlineStr">
        <is>
          <t>E2</t>
        </is>
      </c>
      <c r="M3" s="4" t="inlineStr">
        <is>
          <t>=СТЕПЕНЬ(E1;2)</t>
        </is>
      </c>
      <c r="N3" s="4" t="n">
        <v>16</v>
      </c>
    </row>
    <row r="4">
      <c r="E4" s="3">
        <f>SUM(C6:C11)</f>
        <v/>
      </c>
      <c r="J4" s="4" t="n">
        <v>3</v>
      </c>
      <c r="K4" s="4" t="inlineStr">
        <is>
          <t>ұяшықтары бар формула</t>
        </is>
      </c>
      <c r="L4" s="4" t="inlineStr">
        <is>
          <t>E3</t>
        </is>
      </c>
      <c r="M4" s="4" t="inlineStr">
        <is>
          <t>=4*E1*B2</t>
        </is>
      </c>
      <c r="N4" s="4" t="n">
        <v>40</v>
      </c>
    </row>
    <row r="5">
      <c r="A5" s="1" t="inlineStr">
        <is>
          <t>Тауар</t>
        </is>
      </c>
      <c r="B5" s="1" t="inlineStr">
        <is>
          <t>Санат</t>
        </is>
      </c>
      <c r="C5" s="1" t="inlineStr">
        <is>
          <t>Бағасы, тг</t>
        </is>
      </c>
      <c r="E5" s="3">
        <f>SUMIF(B6:B11,"бояу",C6:C11)</f>
        <v/>
      </c>
      <c r="J5" s="4" t="n">
        <v>4</v>
      </c>
      <c r="K5" s="4" t="inlineStr">
        <is>
          <t>СУММ</t>
        </is>
      </c>
      <c r="L5" s="4" t="inlineStr">
        <is>
          <t>E4</t>
        </is>
      </c>
      <c r="M5" s="4" t="inlineStr">
        <is>
          <t>=СУММ(C6:C11)</t>
        </is>
      </c>
      <c r="N5" s="4" t="n">
        <v>66500</v>
      </c>
    </row>
    <row r="6">
      <c r="A6" t="inlineStr">
        <is>
          <t>Ақ бояу</t>
        </is>
      </c>
      <c r="B6" t="inlineStr">
        <is>
          <t>бояу</t>
        </is>
      </c>
      <c r="C6" t="n">
        <v>12000</v>
      </c>
      <c r="E6" s="3">
        <f>ABS(B3-E4)</f>
        <v/>
      </c>
      <c r="J6" s="4" t="n">
        <v>5</v>
      </c>
      <c r="K6" s="4" t="inlineStr">
        <is>
          <t>СУММЕСЛИ</t>
        </is>
      </c>
      <c r="L6" s="4" t="inlineStr">
        <is>
          <t>E5</t>
        </is>
      </c>
      <c r="M6" s="4" t="inlineStr">
        <is>
          <t>=СУММЕСЛИ(B6:B11;"бояу";C6:C11)</t>
        </is>
      </c>
      <c r="N6" s="4" t="n">
        <v>21500</v>
      </c>
    </row>
    <row r="7">
      <c r="A7" t="inlineStr">
        <is>
          <t>Көк бояу</t>
        </is>
      </c>
      <c r="B7" t="inlineStr">
        <is>
          <t>бояу</t>
        </is>
      </c>
      <c r="C7" t="n">
        <v>9500</v>
      </c>
      <c r="E7" s="3">
        <f>SUM(C6:C11)-SUMIF(B6:B11,"бояу",C6:C11)</f>
        <v/>
      </c>
      <c r="J7" s="4" t="n">
        <v>6</v>
      </c>
      <c r="K7" s="4" t="inlineStr">
        <is>
          <t>ABS</t>
        </is>
      </c>
      <c r="L7" s="4" t="inlineStr">
        <is>
          <t>E6</t>
        </is>
      </c>
      <c r="M7" s="4" t="inlineStr">
        <is>
          <t>=ABS(B3-E4)</t>
        </is>
      </c>
      <c r="N7" s="4" t="n">
        <v>33500</v>
      </c>
    </row>
    <row r="8">
      <c r="A8" t="inlineStr">
        <is>
          <t>Тұсқағаз</t>
        </is>
      </c>
      <c r="B8" t="inlineStr">
        <is>
          <t>тұсқағаз</t>
        </is>
      </c>
      <c r="C8" t="n">
        <v>35000</v>
      </c>
      <c r="J8" s="4" t="n">
        <v>7</v>
      </c>
      <c r="K8" s="4" t="inlineStr">
        <is>
          <t>күрделі: бояудан басқасының бәрі</t>
        </is>
      </c>
      <c r="L8" s="4" t="inlineStr">
        <is>
          <t>E7</t>
        </is>
      </c>
      <c r="M8" s="4" t="inlineStr">
        <is>
          <t>=СУММ(C6:C11)-СУММЕСЛИ(B6:B11;"бояу";C6:C11)</t>
        </is>
      </c>
      <c r="N8" s="4" t="n">
        <v>45000</v>
      </c>
    </row>
    <row r="9">
      <c r="A9" t="inlineStr">
        <is>
          <t>Желім</t>
        </is>
      </c>
      <c r="B9" t="inlineStr">
        <is>
          <t>тұсқағаз</t>
        </is>
      </c>
      <c r="C9" t="n">
        <v>4500</v>
      </c>
      <c r="J9" s="4" t="n">
        <v>8</v>
      </c>
      <c r="K9" s="4" t="inlineStr">
        <is>
          <t>күрделі: ойлан</t>
        </is>
      </c>
      <c r="L9" s="4" t="inlineStr">
        <is>
          <t>E6</t>
        </is>
      </c>
      <c r="M9" s="4" t="inlineStr">
        <is>
          <t>өзгерт: B3 → 60000</t>
        </is>
      </c>
      <c r="N9" s="4" t="n">
        <v>6500</v>
      </c>
    </row>
    <row r="10">
      <c r="A10" t="inlineStr">
        <is>
          <t>Валик</t>
        </is>
      </c>
      <c r="B10" t="inlineStr">
        <is>
          <t>құрал</t>
        </is>
      </c>
      <c r="C10" t="n">
        <v>3000</v>
      </c>
    </row>
    <row r="11">
      <c r="A11" t="inlineStr">
        <is>
          <t>Қол басы</t>
        </is>
      </c>
      <c r="B11" t="inlineStr">
        <is>
          <t>құрал</t>
        </is>
      </c>
      <c r="C1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2026-10-24T17:33:02Z</dcterms:created>
  <dcterms:modified xmlns:dcterms="http://purl.org/dc/terms/" xmlns:xsi="http://www.w3.org/2001/XMLSchema-instance" xsi:type="dcterms:W3CDTF">2026-10-24T17:33:02Z</dcterms:modified>
</cp:coreProperties>
</file>