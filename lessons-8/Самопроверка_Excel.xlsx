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ло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Итог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 wrapText="1"/>
      <protection locked="1" hidden="1"/>
    </xf>
    <xf numFmtId="0" fontId="4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2">
    <dxf>
      <fill>
        <patternFill patternType="solid">
          <fgColor rgb="00D9F2E3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Самопроверка: математические функции в Excel</t>
        </is>
      </c>
    </row>
    <row r="2">
      <c r="A2" s="2" t="inlineStr"/>
    </row>
    <row r="3">
      <c r="A3" s="3" t="inlineStr">
        <is>
          <t>Класс:</t>
        </is>
      </c>
      <c r="B3" s="4" t="n"/>
    </row>
    <row r="4">
      <c r="A4" s="3" t="inlineStr">
        <is>
          <t>Фамилия и имя:</t>
        </is>
      </c>
      <c r="B4" s="4" t="n"/>
    </row>
    <row r="5">
      <c r="A5" s="2" t="inlineStr"/>
    </row>
    <row r="6">
      <c r="A6" s="3" t="inlineStr">
        <is>
          <t>Как работать</t>
        </is>
      </c>
    </row>
    <row r="7">
      <c r="A7" s="2" t="inlineStr">
        <is>
          <t>1. Открой лист сценария (S1–S6). Таблица с данными уже заполнена.</t>
        </is>
      </c>
    </row>
    <row r="8">
      <c r="A8" s="2" t="inlineStr">
        <is>
          <t>2. Справа — шаги. Пиши формулу в жёлтую ячейку, которая указана в шаге.</t>
        </is>
      </c>
    </row>
    <row r="9">
      <c r="A9" s="2" t="inlineStr">
        <is>
          <t>3. В столбце «Проверка» Excel сразу покажет: ✓ верно — или что исправить.</t>
        </is>
      </c>
    </row>
    <row r="10">
      <c r="A10" s="2" t="inlineStr">
        <is>
          <t>4. Шаги со словами «измени…» — поменяй число в таблице, формулу не трогай.</t>
        </is>
      </c>
    </row>
    <row r="11">
      <c r="A11" s="2" t="inlineStr">
        <is>
          <t>5. Общий счёт — на листе «Итог».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Товар</t>
        </is>
      </c>
      <c r="B1" s="5" t="inlineStr">
        <is>
          <t>Магазин 1</t>
        </is>
      </c>
      <c r="C1" s="5" t="inlineStr">
        <is>
          <t>Магазин 2</t>
        </is>
      </c>
      <c r="D1" s="6" t="n"/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Тип шага</t>
        </is>
      </c>
      <c r="L1" s="7" t="inlineStr">
        <is>
          <t>Задание</t>
        </is>
      </c>
      <c r="M1" s="7" t="inlineStr">
        <is>
          <t>Ячейка</t>
        </is>
      </c>
      <c r="N1" s="7" t="inlineStr">
        <is>
          <t>Проверка</t>
        </is>
      </c>
    </row>
    <row r="2">
      <c r="A2" s="6" t="inlineStr">
        <is>
          <t>Тетрадь</t>
        </is>
      </c>
      <c r="B2" s="6" t="n">
        <v>150</v>
      </c>
      <c r="C2" s="6" t="n">
        <v>140</v>
      </c>
      <c r="D2" s="6" t="n"/>
      <c r="E2" s="4" t="n"/>
      <c r="F2" s="6" t="n"/>
      <c r="G2" s="6" t="n"/>
      <c r="H2" s="6" t="n"/>
      <c r="J2" s="8" t="n">
        <v>1</v>
      </c>
      <c r="K2" s="8" t="inlineStr">
        <is>
          <t>диапазон</t>
        </is>
      </c>
      <c r="L2" s="8" t="inlineStr">
        <is>
          <t>Сколько стоят все товары в Магазине 1?</t>
        </is>
      </c>
      <c r="M2" s="8" t="inlineStr">
        <is>
          <t>B8</t>
        </is>
      </c>
      <c r="N2" s="9">
        <f>IF(ISBLANK(B8),"—",IF( OR(NOT(_xlfn.ISFORMULA(B8))),"✗ нужна формула, а не число",IF(NOT(OR(ISNUMBER(SEARCH("СУММ(",IFERROR(_xlfn.FORMULATEXT(B8),""))),ISNUMBER(SEARCH("SUM(",IFERROR(_xlfn.FORMULATEXT(B8),""))))),"✗ нужна функция СУММ",IF(NOT(AND(IFERROR(ABS(B8-(SUM(B2:B7)))&lt;=0.01*MAX(1,ABS(SUM(B2:B7))),FALSE))),"✗ ответ неверный — проверь формулу",IF((LEN(IFERROR(_xlfn.FORMULATEXT(B8),""))-LEN(SUBSTITUTE(IFERROR(_xlfn.FORMULATEXT(B8),""),":","")))&lt;1,"✗ ответ верный, но используй диапазон через «:»","✓ верно")))))</f>
        <v/>
      </c>
    </row>
    <row r="3">
      <c r="A3" s="6" t="inlineStr">
        <is>
          <t>Ручка</t>
        </is>
      </c>
      <c r="B3" s="6" t="n">
        <v>120</v>
      </c>
      <c r="C3" s="6" t="n">
        <v>130</v>
      </c>
      <c r="D3" s="6" t="n"/>
      <c r="E3" s="4" t="n"/>
      <c r="F3" s="6" t="n"/>
      <c r="G3" s="6" t="n"/>
      <c r="H3" s="6" t="n"/>
      <c r="J3" s="8" t="n">
        <v>2</v>
      </c>
      <c r="K3" s="8" t="inlineStr">
        <is>
          <t>кнопка Σ</t>
        </is>
      </c>
      <c r="L3" s="8" t="inlineStr">
        <is>
          <t>Посчитай итог Магазина 2 кнопкой Σ «Автосумма» на вкладке «Главная»: выдели C8, нажми Σ, проверь рамку вокруг чисел и нажми Enter.</t>
        </is>
      </c>
      <c r="M3" s="8" t="inlineStr">
        <is>
          <t>C8</t>
        </is>
      </c>
      <c r="N3" s="9">
        <f>IF(ISBLANK(C8),"—",IF( OR(NOT(_xlfn.ISFORMULA(C8))),"✗ нужна формула, а не число",IF(NOT(OR(ISNUMBER(SEARCH("СУММ(",IFERROR(_xlfn.FORMULATEXT(C8),""))),ISNUMBER(SEARCH("SUM(",IFERROR(_xlfn.FORMULATEXT(C8),""))))),"✗ нужна функция СУММ",IF(NOT(AND(IFERROR(ABS(C8-(SUM(C2:C7)))&lt;=0.01*MAX(1,ABS(SUM(C2:C7))),FALSE))),"✗ ответ неверный — проверь формулу","✓ верно"))))</f>
        <v/>
      </c>
    </row>
    <row r="4">
      <c r="A4" s="6" t="inlineStr">
        <is>
          <t>Карандаш</t>
        </is>
      </c>
      <c r="B4" s="6" t="n">
        <v>80</v>
      </c>
      <c r="C4" s="6" t="n">
        <v>70</v>
      </c>
      <c r="D4" s="6" t="n"/>
      <c r="E4" s="4" t="n"/>
      <c r="F4" s="6" t="n"/>
      <c r="G4" s="6" t="n"/>
      <c r="H4" s="6" t="n"/>
      <c r="J4" s="8" t="n">
        <v>3</v>
      </c>
      <c r="K4" s="8" t="inlineStr">
        <is>
          <t>отдельные ячейки</t>
        </is>
      </c>
      <c r="L4" s="8" t="inlineStr">
        <is>
          <t>Купили тетрадь, ручку и ластик в Магазине 1. Сколько заплатили? Ячейки перечисли через «;» — или щёлкай по ним, зажав Ctrl.</t>
        </is>
      </c>
      <c r="M4" s="8" t="inlineStr">
        <is>
          <t>E2</t>
        </is>
      </c>
      <c r="N4" s="9">
        <f>IF(ISBLANK(E2),"—",IF( OR(NOT(_xlfn.ISFORMULA(E2))),"✗ нужна формула, а не число",IF(NOT(OR(ISNUMBER(SEARCH("СУММ(",IFERROR(_xlfn.FORMULATEXT(E2),""))),ISNUMBER(SEARCH("SUM(",IFERROR(_xlfn.FORMULATEXT(E2),""))))),"✗ нужна функция СУММ",IF(NOT(AND(IFERROR(ABS(E2-(B2+B3+B6))&lt;=0.01*MAX(1,ABS(B2+B3+B6)),FALSE))),"✗ ответ неверный — проверь формулу",IF((LEN(IFERROR(_xlfn.FORMULATEXT(E2),""))-LEN(SUBSTITUTE(IFERROR(_xlfn.FORMULATEXT(E2),""),":","")))&gt;0,"✗ ответ верный, но перечисли ячейки через «;», без диапазона","✓ верно")))))</f>
        <v/>
      </c>
    </row>
    <row r="5">
      <c r="A5" s="6" t="inlineStr">
        <is>
          <t>Линейка</t>
        </is>
      </c>
      <c r="B5" s="6" t="n">
        <v>200</v>
      </c>
      <c r="C5" s="6" t="n">
        <v>220</v>
      </c>
      <c r="D5" s="6" t="n"/>
      <c r="E5" s="4" t="n"/>
      <c r="F5" s="6" t="n"/>
      <c r="G5" s="6" t="n"/>
      <c r="H5" s="6" t="n"/>
      <c r="J5" s="8" t="n">
        <v>4</v>
      </c>
      <c r="K5" s="8" t="inlineStr">
        <is>
          <t>ячейки + число</t>
        </is>
      </c>
      <c r="L5" s="8" t="inlineStr">
        <is>
          <t>Тетрадь и ручка из Магазина 1 плюс доставка 500 тг. Сколько всего?</t>
        </is>
      </c>
      <c r="M5" s="8" t="inlineStr">
        <is>
          <t>E3</t>
        </is>
      </c>
      <c r="N5" s="9">
        <f>IF(ISBLANK(E3),"—",IF( OR(NOT(_xlfn.ISFORMULA(E3))),"✗ нужна формула, а не число",IF(NOT(OR(ISNUMBER(SEARCH("СУММ(",IFERROR(_xlfn.FORMULATEXT(E3),""))),ISNUMBER(SEARCH("SUM(",IFERROR(_xlfn.FORMULATEXT(E3),""))))),"✗ нужна функция СУММ",IF(NOT(AND(IFERROR(ABS(E3-(B2+B3+500))&lt;=0.01*MAX(1,ABS(B2+B3+500)),FALSE))),"✗ ответ неверный — проверь формулу",IF(ISERROR(SEARCH("500",IFERROR(_xlfn.FORMULATEXT(E3),""))),"✗ ответ верный, но запиши так, как просит шаг","✓ верно")))))</f>
        <v/>
      </c>
    </row>
    <row r="6">
      <c r="A6" s="6" t="inlineStr">
        <is>
          <t>Ластик</t>
        </is>
      </c>
      <c r="B6" s="6" t="n">
        <v>60</v>
      </c>
      <c r="C6" s="6" t="n">
        <v>50</v>
      </c>
      <c r="D6" s="6" t="n"/>
      <c r="E6" s="4" t="n"/>
      <c r="F6" s="6" t="n"/>
      <c r="G6" s="6" t="n"/>
      <c r="H6" s="6" t="n"/>
      <c r="J6" s="8" t="n">
        <v>5</v>
      </c>
      <c r="K6" s="8" t="inlineStr">
        <is>
          <t>диапазон + ячейка</t>
        </is>
      </c>
      <c r="L6" s="8" t="inlineStr">
        <is>
          <t>Первые три товара (тетрадь, ручка, карандаш) и пенал из Магазина 1.</t>
        </is>
      </c>
      <c r="M6" s="8" t="inlineStr">
        <is>
          <t>E4</t>
        </is>
      </c>
      <c r="N6" s="9">
        <f>IF(ISBLANK(E4),"—",IF( OR(NOT(_xlfn.ISFORMULA(E4))),"✗ нужна формула, а не число",IF(NOT(OR(ISNUMBER(SEARCH("СУММ(",IFERROR(_xlfn.FORMULATEXT(E4),""))),ISNUMBER(SEARCH("SUM(",IFERROR(_xlfn.FORMULATEXT(E4),""))))),"✗ нужна функция СУММ",IF(NOT(AND(IFERROR(ABS(E4-(SUM(B2:B4)+B7))&lt;=0.01*MAX(1,ABS(SUM(B2:B4)+B7)),FALSE))),"✗ ответ неверный — проверь формулу",IF((LEN(IFERROR(_xlfn.FORMULATEXT(E4),""))-LEN(SUBSTITUTE(IFERROR(_xlfn.FORMULATEXT(E4),""),":","")))&lt;&gt;1,"✗ ответ верный, но запиши одним диапазоном",IF(ISERROR(SEARCH("B7",IFERROR(_xlfn.FORMULATEXT(E4),""))),"✗ ответ верный, но запиши так, как просит шаг","✓ верно"))))))</f>
        <v/>
      </c>
    </row>
    <row r="7">
      <c r="A7" s="6" t="inlineStr">
        <is>
          <t>Пенал</t>
        </is>
      </c>
      <c r="B7" s="6" t="n">
        <v>1500</v>
      </c>
      <c r="C7" s="6" t="n">
        <v>1400</v>
      </c>
      <c r="D7" s="6" t="n"/>
      <c r="E7" s="6" t="n"/>
      <c r="F7" s="6" t="n"/>
      <c r="G7" s="6" t="n"/>
      <c r="H7" s="6" t="n"/>
      <c r="J7" s="8" t="n">
        <v>6</v>
      </c>
      <c r="K7" s="8" t="inlineStr">
        <is>
          <t>два диапазона</t>
        </is>
      </c>
      <c r="L7" s="8" t="inlineStr">
        <is>
          <t>Сколько стоят все товары обоих магазинов вместе? Одна формула, два диапазона через «;».</t>
        </is>
      </c>
      <c r="M7" s="8" t="inlineStr">
        <is>
          <t>E5</t>
        </is>
      </c>
      <c r="N7" s="9">
        <f>IF(ISBLANK(E5),"—",IF( OR(NOT(_xlfn.ISFORMULA(E5))),"✗ нужна формула, а не число",IF(NOT(OR(ISNUMBER(SEARCH("СУММ(",IFERROR(_xlfn.FORMULATEXT(E5),""))),ISNUMBER(SEARCH("SUM(",IFERROR(_xlfn.FORMULATEXT(E5),""))))),"✗ нужна функция СУММ",IF(NOT(AND(IFERROR(ABS(E5-(SUM(B2:B7)+SUM(C2:C7)))&lt;=0.01*MAX(1,ABS(SUM(B2:B7)+SUM(C2:C7))),FALSE))),"✗ ответ неверный — проверь формулу",IF((LEN(IFERROR(_xlfn.FORMULATEXT(E5),""))-LEN(SUBSTITUTE(IFERROR(_xlfn.FORMULATEXT(E5),""),":","")))&lt;&gt;2,"✗ ответ верный, но нужны два диапазона через «;»","✓ верно")))))</f>
        <v/>
      </c>
    </row>
    <row r="8">
      <c r="A8" s="6" t="inlineStr">
        <is>
          <t>Итого</t>
        </is>
      </c>
      <c r="B8" s="4" t="n"/>
      <c r="C8" s="4" t="n"/>
      <c r="D8" s="6" t="n"/>
      <c r="E8" s="6" t="n"/>
      <c r="F8" s="6" t="n"/>
      <c r="G8" s="6" t="n"/>
      <c r="H8" s="6" t="n"/>
      <c r="J8" s="8" t="n">
        <v>7</v>
      </c>
      <c r="K8" s="8" t="inlineStr">
        <is>
          <t>прямоугольник</t>
        </is>
      </c>
      <c r="L8" s="8" t="inlineStr">
        <is>
          <t>То же самое одним диапазоном-прямоугольником: от левой верхней цены до правой нижней. Сравни с E5.</t>
        </is>
      </c>
      <c r="M8" s="8" t="inlineStr">
        <is>
          <t>E6</t>
        </is>
      </c>
      <c r="N8" s="9">
        <f>IF(ISBLANK(E6),"—",IF( OR(NOT(_xlfn.ISFORMULA(E6))),"✗ нужна формула, а не число",IF(NOT(OR(ISNUMBER(SEARCH("СУММ(",IFERROR(_xlfn.FORMULATEXT(E6),""))),ISNUMBER(SEARCH("SUM(",IFERROR(_xlfn.FORMULATEXT(E6),""))))),"✗ нужна функция СУММ",IF(NOT(AND(IFERROR(ABS(E6-(SUM(B2:C7)))&lt;=0.01*MAX(1,ABS(SUM(B2:C7))),FALSE))),"✗ ответ неверный — проверь формулу",IF((LEN(IFERROR(_xlfn.FORMULATEXT(E6),""))-LEN(SUBSTITUTE(IFERROR(_xlfn.FORMULATEXT(E6),""),":","")))&lt;&gt;1,"✗ ответ верный, но запиши одним диапазоном","✓ верно")))))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сложное: автопересчёт</t>
        </is>
      </c>
      <c r="L9" s="8" t="inlineStr">
        <is>
          <t>Пенал в Магазине 1 подешевел до 1200. Измени число в B7, формулу не трогай. Какое число теперь в B8?</t>
        </is>
      </c>
      <c r="M9" s="8" t="inlineStr">
        <is>
          <t>B8</t>
        </is>
      </c>
      <c r="N9" s="9">
        <f>IF(ISBLANK(B8),"—",IF(NOT(B7=1200),"✗ сначала измени B7 на 1200",IF( OR(NOT(_xlfn.ISFORMULA(B8))),"✗ нужна формула, а не число",IF(NOT(OR(ISNUMBER(SEARCH("СУММ(",IFERROR(_xlfn.FORMULATEXT(B8),""))),ISNUMBER(SEARCH("SUM(",IFERROR(_xlfn.FORMULATEXT(B8),""))))),"✗ нужна функция СУММ",IF(NOT(AND(IFERROR(ABS(B8-(SUM(B2:B7)))&lt;=0.01*MAX(1,ABS(SUM(B2:B7))),FALSE))),"✗ ответ неверный — проверь формулу","✓ верно")))))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Выполнено шагов:</t>
        </is>
      </c>
      <c r="N11" s="11">
        <f>COUNTIF(N2:N9,"✓*")&amp;" из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День</t>
        </is>
      </c>
      <c r="B1" s="5" t="inlineStr">
        <is>
          <t>Утро</t>
        </is>
      </c>
      <c r="C1" s="5" t="inlineStr">
        <is>
          <t>Вечер</t>
        </is>
      </c>
      <c r="D1" s="5" t="inlineStr">
        <is>
          <t>Изменение</t>
        </is>
      </c>
      <c r="E1" s="5" t="inlineStr">
        <is>
          <t>Без ABS</t>
        </is>
      </c>
      <c r="F1" s="6" t="n"/>
      <c r="G1" s="6" t="n"/>
      <c r="H1" s="6" t="n"/>
      <c r="J1" s="7" t="inlineStr">
        <is>
          <t>№</t>
        </is>
      </c>
      <c r="K1" s="7" t="inlineStr">
        <is>
          <t>Тип шага</t>
        </is>
      </c>
      <c r="L1" s="7" t="inlineStr">
        <is>
          <t>Задание</t>
        </is>
      </c>
      <c r="M1" s="7" t="inlineStr">
        <is>
          <t>Ячейка</t>
        </is>
      </c>
      <c r="N1" s="7" t="inlineStr">
        <is>
          <t>Проверка</t>
        </is>
      </c>
    </row>
    <row r="2">
      <c r="A2" s="6" t="inlineStr">
        <is>
          <t>Пн</t>
        </is>
      </c>
      <c r="B2" s="6" t="n">
        <v>-3</v>
      </c>
      <c r="C2" s="6" t="n">
        <v>4</v>
      </c>
      <c r="D2" s="4" t="n"/>
      <c r="E2" s="4" t="n"/>
      <c r="F2" s="6" t="n"/>
      <c r="G2" s="4" t="n"/>
      <c r="H2" s="6" t="n"/>
      <c r="J2" s="8" t="n">
        <v>1</v>
      </c>
      <c r="K2" s="8" t="inlineStr">
        <is>
          <t>модуль числа</t>
        </is>
      </c>
      <c r="L2" s="8" t="inlineStr">
        <is>
          <t>Набери в G2 формулу с модулем числа −12. Что получилось?</t>
        </is>
      </c>
      <c r="M2" s="8" t="inlineStr">
        <is>
          <t>G2</t>
        </is>
      </c>
      <c r="N2" s="9">
        <f>IF(ISBLANK(G2),"—",IF( OR(NOT(_xlfn.ISFORMULA(G2))),"✗ нужна формула, а не число",IF(NOT(OR(ISNUMBER(SEARCH("ABS(",IFERROR(_xlfn.FORMULATEXT(G2),""))),ISNUMBER(SEARCH("ABS(",IFERROR(_xlfn.FORMULATEXT(G2),""))))),"✗ нужна функция ABS",IF(NOT(AND(IFERROR(ABS(G2-(12))&lt;=0.01*MAX(1,ABS(12)),FALSE))),"✗ ответ неверный — проверь формулу","✓ верно"))))</f>
        <v/>
      </c>
    </row>
    <row r="3">
      <c r="A3" s="6" t="inlineStr">
        <is>
          <t>Вт</t>
        </is>
      </c>
      <c r="B3" s="6" t="n">
        <v>2</v>
      </c>
      <c r="C3" s="6" t="n">
        <v>-2</v>
      </c>
      <c r="D3" s="4" t="n"/>
      <c r="E3" s="4" t="n"/>
      <c r="F3" s="6" t="n"/>
      <c r="G3" s="4" t="n"/>
      <c r="H3" s="6" t="n"/>
      <c r="J3" s="8" t="n">
        <v>2</v>
      </c>
      <c r="K3" s="8" t="inlineStr">
        <is>
          <t>модуль ячейки</t>
        </is>
      </c>
      <c r="L3" s="8" t="inlineStr">
        <is>
          <t>Найди модуль утренней температуры понедельника.</t>
        </is>
      </c>
      <c r="M3" s="8" t="inlineStr">
        <is>
          <t>G3</t>
        </is>
      </c>
      <c r="N3" s="9">
        <f>IF(ISBLANK(G3),"—",IF( OR(NOT(_xlfn.ISFORMULA(G3))),"✗ нужна формула, а не число",IF(NOT(OR(ISNUMBER(SEARCH("ABS(",IFERROR(_xlfn.FORMULATEXT(G3),""))),ISNUMBER(SEARCH("ABS(",IFERROR(_xlfn.FORMULATEXT(G3),""))))),"✗ нужна функция ABS",IF(NOT(AND(IFERROR(ABS(G3-(ABS(B2)))&lt;=0.01*MAX(1,ABS(ABS(B2))),FALSE))),"✗ ответ неверный — проверь формулу","✓ верно"))))</f>
        <v/>
      </c>
    </row>
    <row r="4">
      <c r="A4" s="6" t="inlineStr">
        <is>
          <t>Ср</t>
        </is>
      </c>
      <c r="B4" s="6" t="n">
        <v>-6</v>
      </c>
      <c r="C4" s="6" t="n">
        <v>-1</v>
      </c>
      <c r="D4" s="4" t="n"/>
      <c r="E4" s="4" t="n"/>
      <c r="F4" s="6" t="n"/>
      <c r="G4" s="4" t="n"/>
      <c r="H4" s="6" t="n"/>
      <c r="J4" s="8" t="n">
        <v>3</v>
      </c>
      <c r="K4" s="8" t="inlineStr">
        <is>
          <t>разность без ABS</t>
        </is>
      </c>
      <c r="L4" s="8" t="inlineStr">
        <is>
          <t>В E2 запиши разницу «вечер минус утро» без ABS и протяни формулу вниз до E8 за маленький квадрат в углу ячейки. Что получилось во вторник (E3)?</t>
        </is>
      </c>
      <c r="M4" s="8" t="inlineStr">
        <is>
          <t>E2 → протяни вниз; ответ в E3</t>
        </is>
      </c>
      <c r="N4" s="9">
        <f>IF(ISBLANK(E3),"—",IF( OR(NOT(_xlfn.ISFORMULA(E3)),NOT(_xlfn.ISFORMULA(E8))),"✗ нужна формула, а не число (протяни формулу вниз)",IF(OR(ISNUMBER(SEARCH("ABS(",IFERROR(_xlfn.FORMULATEXT(E3),""))),ISNUMBER(SEARCH("ABS(",IFERROR(_xlfn.FORMULATEXT(E3),"")))),"✗ здесь обойдись без ABS",IF(NOT(AND(IFERROR(ABS(E3-(C3-B3))&lt;=0.01*MAX(1,ABS(C3-B3)),FALSE),IFERROR(ABS(E8-(C8-B8))&lt;=0.01*MAX(1,ABS(C8-B8)),FALSE))),"✗ ответ неверный — проверь формулу","✓ верно"))))</f>
        <v/>
      </c>
    </row>
    <row r="5">
      <c r="A5" s="6" t="inlineStr">
        <is>
          <t>Чт</t>
        </is>
      </c>
      <c r="B5" s="6" t="n">
        <v>0</v>
      </c>
      <c r="C5" s="6" t="n">
        <v>3</v>
      </c>
      <c r="D5" s="4" t="n"/>
      <c r="E5" s="4" t="n"/>
      <c r="F5" s="6" t="n"/>
      <c r="G5" s="4" t="n"/>
      <c r="H5" s="6" t="n"/>
      <c r="J5" s="8" t="n">
        <v>4</v>
      </c>
      <c r="K5" s="8" t="inlineStr">
        <is>
          <t>ABS разности</t>
        </is>
      </c>
      <c r="L5" s="8" t="inlineStr">
        <is>
          <t>В D2 запиши изменение температуры без минуса и протяни до D8. Что во вторник (D3)?</t>
        </is>
      </c>
      <c r="M5" s="8" t="inlineStr">
        <is>
          <t>D2 → протяни вниз; ответ в D3</t>
        </is>
      </c>
      <c r="N5" s="9">
        <f>IF(ISBLANK(D3),"—",IF( OR(NOT(_xlfn.ISFORMULA(D3)),NOT(_xlfn.ISFORMULA(D8))),"✗ нужна формула, а не число (протяни формулу вниз)",IF(NOT(OR(ISNUMBER(SEARCH("ABS(",IFERROR(_xlfn.FORMULATEXT(D3),""))),ISNUMBER(SEARCH("ABS(",IFERROR(_xlfn.FORMULATEXT(D3),""))))),"✗ нужна функция ABS",IF(NOT(AND(IFERROR(ABS(D3-(ABS(C3-B3)))&lt;=0.01*MAX(1,ABS(ABS(C3-B3))),FALSE),IFERROR(ABS(D8-(ABS(C8-B8)))&lt;=0.01*MAX(1,ABS(ABS(C8-B8))),FALSE))),"✗ ответ неверный — проверь формулу","✓ верно"))))</f>
        <v/>
      </c>
    </row>
    <row r="6">
      <c r="A6" s="6" t="inlineStr">
        <is>
          <t>Пт</t>
        </is>
      </c>
      <c r="B6" s="6" t="n">
        <v>4</v>
      </c>
      <c r="C6" s="6" t="n">
        <v>8</v>
      </c>
      <c r="D6" s="4" t="n"/>
      <c r="E6" s="4" t="n"/>
      <c r="F6" s="6" t="n"/>
      <c r="G6" s="4" t="n"/>
      <c r="H6" s="6" t="n"/>
      <c r="J6" s="8" t="n">
        <v>5</v>
      </c>
      <c r="K6" s="8" t="inlineStr">
        <is>
          <t>проверка протягивания</t>
        </is>
      </c>
      <c r="L6" s="8" t="inlineStr">
        <is>
          <t>Какое изменение получилось в среду (D4)? Нажми на D4 и посмотри, какие ячейки стоят в формуле.</t>
        </is>
      </c>
      <c r="M6" s="8" t="inlineStr">
        <is>
          <t>D4</t>
        </is>
      </c>
      <c r="N6" s="9">
        <f>IF(ISBLANK(D4),"—",IF( OR(NOT(_xlfn.ISFORMULA(D4))),"✗ нужна формула, а не число",IF(NOT(OR(ISNUMBER(SEARCH("ABS(",IFERROR(_xlfn.FORMULATEXT(D4),""))),ISNUMBER(SEARCH("ABS(",IFERROR(_xlfn.FORMULATEXT(D4),""))))),"✗ нужна функция ABS",IF(NOT(AND(IFERROR(ABS(D4-(ABS(C4-B4)))&lt;=0.01*MAX(1,ABS(ABS(C4-B4))),FALSE))),"✗ ответ неверный — проверь формулу","✓ верно"))))</f>
        <v/>
      </c>
    </row>
    <row r="7">
      <c r="A7" s="6" t="inlineStr">
        <is>
          <t>Сб</t>
        </is>
      </c>
      <c r="B7" s="6" t="n">
        <v>-1</v>
      </c>
      <c r="C7" s="6" t="n">
        <v>-5</v>
      </c>
      <c r="D7" s="4" t="n"/>
      <c r="E7" s="4" t="n"/>
      <c r="F7" s="6" t="n"/>
      <c r="G7" s="6" t="n"/>
      <c r="H7" s="6" t="n"/>
      <c r="J7" s="8" t="n">
        <v>6</v>
      </c>
      <c r="K7" s="8" t="inlineStr">
        <is>
          <t>сложное: СУММ + ABS</t>
        </is>
      </c>
      <c r="L7" s="8" t="inlineStr">
        <is>
          <t>На сколько градусов всего менялась температура за неделю? Сложи столбец D.</t>
        </is>
      </c>
      <c r="M7" s="8" t="inlineStr">
        <is>
          <t>G4</t>
        </is>
      </c>
      <c r="N7" s="9">
        <f>IF(ISBLANK(G4),"—",IF( OR(NOT(_xlfn.ISFORMULA(G4))),"✗ нужна формула, а не число",IF(NOT(OR(ISNUMBER(SEARCH("СУММ(",IFERROR(_xlfn.FORMULATEXT(G4),""))),ISNUMBER(SEARCH("SUM(",IFERROR(_xlfn.FORMULATEXT(G4),""))))),"✗ нужна функция СУММ",IF(NOT(AND(IFERROR(ABS(G4-(SUMPRODUCT(ABS(C2:C8-B2:B8))))&lt;=0.01*MAX(1,ABS(SUMPRODUCT(ABS(C2:C8-B2:B8)))),FALSE))),"✗ ответ неверный — проверь формулу","✓ верно"))))</f>
        <v/>
      </c>
    </row>
    <row r="8">
      <c r="A8" s="6" t="inlineStr">
        <is>
          <t>Вс</t>
        </is>
      </c>
      <c r="B8" s="6" t="n">
        <v>5</v>
      </c>
      <c r="C8" s="6" t="n">
        <v>9</v>
      </c>
      <c r="D8" s="4" t="n"/>
      <c r="E8" s="4" t="n"/>
      <c r="F8" s="6" t="n"/>
      <c r="G8" s="6" t="n"/>
      <c r="H8" s="6" t="n"/>
      <c r="J8" s="8" t="n">
        <v>7</v>
      </c>
      <c r="K8" s="8" t="inlineStr">
        <is>
          <t>сложное: сравнение</t>
        </is>
      </c>
      <c r="L8" s="8" t="inlineStr">
        <is>
          <t>А теперь сложи столбец E (без ABS). Почему получилось меньше, чем в G4?</t>
        </is>
      </c>
      <c r="M8" s="8" t="inlineStr">
        <is>
          <t>G5</t>
        </is>
      </c>
      <c r="N8" s="9">
        <f>IF(ISBLANK(G5),"—",IF( OR(NOT(_xlfn.ISFORMULA(G5))),"✗ нужна формула, а не число",IF(NOT(OR(ISNUMBER(SEARCH("СУММ(",IFERROR(_xlfn.FORMULATEXT(G5),""))),ISNUMBER(SEARCH("SUM(",IFERROR(_xlfn.FORMULATEXT(G5),""))))),"✗ нужна функция СУММ",IF(NOT(AND(IFERROR(ABS(G5-(SUM(C2:C8)-SUM(B2:B8)))&lt;=0.01*MAX(1,ABS(SUM(C2:C8)-SUM(B2:B8))),FALSE))),"✗ ответ неверный — проверь формулу","✓ верно"))))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сложное: одна формула</t>
        </is>
      </c>
      <c r="L9" s="8" t="inlineStr">
        <is>
          <t>На сколько градусов утро воскресенья отличается от утра понедельника? Одной формулой с ABS.</t>
        </is>
      </c>
      <c r="M9" s="8" t="inlineStr">
        <is>
          <t>G6</t>
        </is>
      </c>
      <c r="N9" s="9">
        <f>IF(ISBLANK(G6),"—",IF( OR(NOT(_xlfn.ISFORMULA(G6))),"✗ нужна формула, а не число",IF(NOT(OR(ISNUMBER(SEARCH("ABS(",IFERROR(_xlfn.FORMULATEXT(G6),""))),ISNUMBER(SEARCH("ABS(",IFERROR(_xlfn.FORMULATEXT(G6),""))))),"✗ нужна функция ABS",IF(NOT(AND(IFERROR(ABS(G6-(ABS(B8-B2)))&lt;=0.01*MAX(1,ABS(ABS(B8-B2))),FALSE))),"✗ ответ неверный — проверь формулу","✓ верно"))))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Выполнено шагов:</t>
        </is>
      </c>
      <c r="N11" s="11">
        <f>COUNTIF(N2:N9,"✓*")&amp;" из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Участок</t>
        </is>
      </c>
      <c r="B1" s="5" t="inlineStr">
        <is>
          <t>Площадь, м²</t>
        </is>
      </c>
      <c r="C1" s="5" t="inlineStr">
        <is>
          <t>Сторона, м</t>
        </is>
      </c>
      <c r="D1" s="5" t="inlineStr">
        <is>
          <t>Забор, м</t>
        </is>
      </c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Тип шага</t>
        </is>
      </c>
      <c r="L1" s="7" t="inlineStr">
        <is>
          <t>Задание</t>
        </is>
      </c>
      <c r="M1" s="7" t="inlineStr">
        <is>
          <t>Ячейка</t>
        </is>
      </c>
      <c r="N1" s="7" t="inlineStr">
        <is>
          <t>Проверка</t>
        </is>
      </c>
    </row>
    <row r="2">
      <c r="A2" s="6" t="inlineStr">
        <is>
          <t>Сад</t>
        </is>
      </c>
      <c r="B2" s="6" t="n">
        <v>64</v>
      </c>
      <c r="C2" s="4" t="n"/>
      <c r="D2" s="4" t="n"/>
      <c r="E2" s="6" t="n"/>
      <c r="F2" s="4" t="n"/>
      <c r="G2" s="6" t="n"/>
      <c r="H2" s="6" t="n"/>
      <c r="J2" s="8" t="n">
        <v>1</v>
      </c>
      <c r="K2" s="8" t="inlineStr">
        <is>
          <t>корень ячейки</t>
        </is>
      </c>
      <c r="L2" s="8" t="inlineStr">
        <is>
          <t>Найди сторону сада.</t>
        </is>
      </c>
      <c r="M2" s="8" t="inlineStr">
        <is>
          <t>C2</t>
        </is>
      </c>
      <c r="N2" s="9">
        <f>IF(ISBLANK(C2),"—",IF( OR(NOT(_xlfn.ISFORMULA(C2))),"✗ нужна формула, а не число",IF(NOT(OR(ISNUMBER(SEARCH("КОРЕНЬ(",IFERROR(_xlfn.FORMULATEXT(C2),""))),ISNUMBER(SEARCH("SQRT(",IFERROR(_xlfn.FORMULATEXT(C2),""))))),"✗ нужна функция КОРЕНЬ",IF(NOT(AND(IFERROR(ABS(C2-(SQRT(B2)))&lt;=0.01*MAX(1,ABS(SQRT(B2))),FALSE))),"✗ ответ неверный — проверь формулу","✓ верно"))))</f>
        <v/>
      </c>
    </row>
    <row r="3">
      <c r="A3" s="6" t="inlineStr">
        <is>
          <t>Огород</t>
        </is>
      </c>
      <c r="B3" s="6" t="n">
        <v>100</v>
      </c>
      <c r="C3" s="4" t="n"/>
      <c r="D3" s="6" t="n"/>
      <c r="E3" s="6" t="n"/>
      <c r="F3" s="4" t="n"/>
      <c r="G3" s="6" t="n"/>
      <c r="H3" s="6" t="n"/>
      <c r="J3" s="8" t="n">
        <v>2</v>
      </c>
      <c r="K3" s="8" t="inlineStr">
        <is>
          <t>протягивание</t>
        </is>
      </c>
      <c r="L3" s="8" t="inlineStr">
        <is>
          <t>Протяни формулу из C2 вниз до C6. Какая сторона у двора (C5)?</t>
        </is>
      </c>
      <c r="M3" s="8" t="inlineStr">
        <is>
          <t>C5</t>
        </is>
      </c>
      <c r="N3" s="9">
        <f>IF(ISBLANK(C5),"—",IF( OR(NOT(_xlfn.ISFORMULA(C5)),NOT(_xlfn.ISFORMULA(C6))),"✗ нужна формула, а не число (протяни формулу вниз)",IF(NOT(AND(IFERROR(ABS(C5-(SQRT(B5)))&lt;=0.01*MAX(1,ABS(SQRT(B5))),FALSE),IFERROR(ABS(C6-(SQRT(B6)))&lt;=0.01*MAX(1,ABS(SQRT(B6))),FALSE))),"✗ ответ неверный — проверь формулу","✓ верно")))</f>
        <v/>
      </c>
    </row>
    <row r="4">
      <c r="A4" s="6" t="inlineStr">
        <is>
          <t>Клумба</t>
        </is>
      </c>
      <c r="B4" s="6" t="n">
        <v>2</v>
      </c>
      <c r="C4" s="4" t="n"/>
      <c r="D4" s="6" t="n"/>
      <c r="E4" s="6" t="n"/>
      <c r="F4" s="4" t="n"/>
      <c r="G4" s="6" t="n"/>
      <c r="H4" s="6" t="n"/>
      <c r="J4" s="8" t="n">
        <v>3</v>
      </c>
      <c r="K4" s="8" t="inlineStr">
        <is>
          <t>дробный ответ</t>
        </is>
      </c>
      <c r="L4" s="8" t="inlineStr">
        <is>
          <t>Какая сторона у клумбы (C4)? Оставь 2 знака после запятой кнопкой «Уменьшить разрядность» на вкладке «Главная».</t>
        </is>
      </c>
      <c r="M4" s="8" t="inlineStr">
        <is>
          <t>C4</t>
        </is>
      </c>
      <c r="N4" s="9">
        <f>IF(ISBLANK(C4),"—",IF( OR(NOT(_xlfn.ISFORMULA(C4))),"✗ нужна формула, а не число",IF(NOT(AND(IFERROR(ABS(C4-(SQRT(B4)))&lt;=0.01*MAX(1,ABS(SQRT(B4))),FALSE))),"✗ ответ неверный — проверь формулу","✓ верно")))</f>
        <v/>
      </c>
    </row>
    <row r="5">
      <c r="A5" s="6" t="inlineStr">
        <is>
          <t>Двор</t>
        </is>
      </c>
      <c r="B5" s="6" t="n">
        <v>225</v>
      </c>
      <c r="C5" s="4" t="n"/>
      <c r="D5" s="6" t="n"/>
      <c r="E5" s="6" t="n"/>
      <c r="F5" s="4" t="n"/>
      <c r="G5" s="6" t="n"/>
      <c r="H5" s="6" t="n"/>
      <c r="J5" s="8" t="n">
        <v>4</v>
      </c>
      <c r="K5" s="8" t="inlineStr">
        <is>
          <t>корень числа</t>
        </is>
      </c>
      <c r="L5" s="8" t="inlineStr">
        <is>
          <t>Найди корень из 144 — число впиши прямо в формулу.</t>
        </is>
      </c>
      <c r="M5" s="8" t="inlineStr">
        <is>
          <t>F2</t>
        </is>
      </c>
      <c r="N5" s="9">
        <f>IF(ISBLANK(F2),"—",IF( OR(NOT(_xlfn.ISFORMULA(F2))),"✗ нужна формула, а не число",IF(NOT(OR(ISNUMBER(SEARCH("КОРЕНЬ(",IFERROR(_xlfn.FORMULATEXT(F2),""))),ISNUMBER(SEARCH("SQRT(",IFERROR(_xlfn.FORMULATEXT(F2),""))))),"✗ нужна функция КОРЕНЬ",IF(NOT(AND(IFERROR(ABS(F2-(12))&lt;=0.01*MAX(1,ABS(12)),FALSE))),"✗ ответ неверный — проверь формулу","✓ верно"))))</f>
        <v/>
      </c>
    </row>
    <row r="6">
      <c r="A6" s="6" t="inlineStr">
        <is>
          <t>Теплица</t>
        </is>
      </c>
      <c r="B6" s="6" t="n">
        <v>50</v>
      </c>
      <c r="C6" s="4" t="n"/>
      <c r="D6" s="6" t="n"/>
      <c r="E6" s="6" t="n"/>
      <c r="F6" s="6" t="n"/>
      <c r="G6" s="6" t="n"/>
      <c r="H6" s="6" t="n"/>
      <c r="J6" s="8" t="n">
        <v>5</v>
      </c>
      <c r="K6" s="8" t="inlineStr">
        <is>
          <t>корень × число</t>
        </is>
      </c>
      <c r="L6" s="8" t="inlineStr">
        <is>
          <t>Сколько метров забора нужно вокруг сада? У квадрата 4 стороны.</t>
        </is>
      </c>
      <c r="M6" s="8" t="inlineStr">
        <is>
          <t>D2</t>
        </is>
      </c>
      <c r="N6" s="9">
        <f>IF(ISBLANK(D2),"—",IF( OR(NOT(_xlfn.ISFORMULA(D2))),"✗ нужна формула, а не число",IF(NOT(AND(IFERROR(ABS(D2-(SQRT(B2)*4))&lt;=0.01*MAX(1,ABS(SQRT(B2)*4)),FALSE))),"✗ ответ неверный — проверь формулу","✓ верно")))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J7" s="8" t="n">
        <v>6</v>
      </c>
      <c r="K7" s="8" t="inlineStr">
        <is>
          <t>ошибка</t>
        </is>
      </c>
      <c r="L7" s="8" t="inlineStr">
        <is>
          <t>Набери в F3 корень из −25. Что показывает Excel?</t>
        </is>
      </c>
      <c r="M7" s="8" t="inlineStr">
        <is>
          <t>F3</t>
        </is>
      </c>
      <c r="N7" s="9">
        <f>IF(ISBLANK(F3),"—",IF( OR(NOT(_xlfn.ISFORMULA(F3))),"✗ нужна формула, а не число",IF(NOT(OR(ISNUMBER(SEARCH("КОРЕНЬ(",IFERROR(_xlfn.FORMULATEXT(F3),""))),ISNUMBER(SEARCH("SQRT(",IFERROR(_xlfn.FORMULATEXT(F3),""))))),"✗ нужна функция КОРЕНЬ",IF(NOT(ISERROR(F3)),"✗ ответ неверный — проверь формулу","✓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J8" s="8" t="n">
        <v>7</v>
      </c>
      <c r="K8" s="8" t="inlineStr">
        <is>
          <t>исправление ошибки</t>
        </is>
      </c>
      <c r="L8" s="8" t="inlineStr">
        <is>
          <t>Исправь: убери минус внутри корня с помощью ABS.</t>
        </is>
      </c>
      <c r="M8" s="8" t="inlineStr">
        <is>
          <t>F4</t>
        </is>
      </c>
      <c r="N8" s="9">
        <f>IF(ISBLANK(F4),"—",IF( OR(NOT(_xlfn.ISFORMULA(F4))),"✗ нужна формула, а не число",IF(NOT(OR(ISNUMBER(SEARCH("КОРЕНЬ(",IFERROR(_xlfn.FORMULATEXT(F4),""))),ISNUMBER(SEARCH("SQRT(",IFERROR(_xlfn.FORMULATEXT(F4),""))))),"✗ нужна функция КОРЕНЬ",IF(NOT(OR(ISNUMBER(SEARCH("ABS(",IFERROR(_xlfn.FORMULATEXT(F4),""))),ISNUMBER(SEARCH("ABS(",IFERROR(_xlfn.FORMULATEXT(F4),""))))),"✗ нужна функция ABS",IF(NOT(AND(IFERROR(ABS(F4-(5))&lt;=0.01*MAX(1,ABS(5)),FALSE))),"✗ ответ неверный — проверь формулу","✓ верно")))))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сложное: Пифагор</t>
        </is>
      </c>
      <c r="L9" s="8" t="inlineStr">
        <is>
          <t>Найди диагональ сада: корень из суммы квадратов двух сторон. Сторона уже в C2. Ответ — с 2 знаками после запятой.</t>
        </is>
      </c>
      <c r="M9" s="8" t="inlineStr">
        <is>
          <t>F5</t>
        </is>
      </c>
      <c r="N9" s="9">
        <f>IF(ISBLANK(F5),"—",IF( OR(NOT(_xlfn.ISFORMULA(F5))),"✗ нужна формула, а не число",IF(NOT(OR(ISNUMBER(SEARCH("КОРЕНЬ(",IFERROR(_xlfn.FORMULATEXT(F5),""))),ISNUMBER(SEARCH("SQRT(",IFERROR(_xlfn.FORMULATEXT(F5),""))))),"✗ нужна функция КОРЕНЬ",IF(NOT(AND(IFERROR(ABS(F5-(SQRT(2*B2)))&lt;=0.01*MAX(1,ABS(SQRT(2*B2))),FALSE))),"✗ ответ неверный — проверь формулу","✓ верно"))))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Выполнено шагов:</t>
        </is>
      </c>
      <c r="N11" s="11">
        <f>COUNTIF(N2:N9,"✓*")&amp;" из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Число</t>
        </is>
      </c>
      <c r="B1" s="5" t="inlineStr">
        <is>
          <t>Степень</t>
        </is>
      </c>
      <c r="C1" s="5" t="inlineStr">
        <is>
          <t>СТЕПЕНЬ</t>
        </is>
      </c>
      <c r="D1" s="5" t="inlineStr">
        <is>
          <t>Знак ^</t>
        </is>
      </c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Тип шага</t>
        </is>
      </c>
      <c r="L1" s="7" t="inlineStr">
        <is>
          <t>Задание</t>
        </is>
      </c>
      <c r="M1" s="7" t="inlineStr">
        <is>
          <t>Ячейка</t>
        </is>
      </c>
      <c r="N1" s="7" t="inlineStr">
        <is>
          <t>Проверка</t>
        </is>
      </c>
    </row>
    <row r="2">
      <c r="A2" s="6" t="n">
        <v>2</v>
      </c>
      <c r="B2" s="6" t="n">
        <v>3</v>
      </c>
      <c r="C2" s="4" t="n"/>
      <c r="D2" s="4" t="n"/>
      <c r="E2" s="6" t="n"/>
      <c r="F2" s="4" t="n"/>
      <c r="G2" s="6" t="n"/>
      <c r="H2" s="6" t="n"/>
      <c r="J2" s="8" t="n">
        <v>1</v>
      </c>
      <c r="K2" s="8" t="inlineStr">
        <is>
          <t>две ячейки</t>
        </is>
      </c>
      <c r="L2" s="8" t="inlineStr">
        <is>
          <t>Возведи число из A2 в степень из B2.</t>
        </is>
      </c>
      <c r="M2" s="8" t="inlineStr">
        <is>
          <t>C2</t>
        </is>
      </c>
      <c r="N2" s="9">
        <f>IF(ISBLANK(C2),"—",IF( OR(NOT(_xlfn.ISFORMULA(C2))),"✗ нужна формула, а не число",IF(NOT(OR(ISNUMBER(SEARCH("СТЕПЕНЬ(",IFERROR(_xlfn.FORMULATEXT(C2),""))),ISNUMBER(SEARCH("POWER(",IFERROR(_xlfn.FORMULATEXT(C2),""))))),"✗ нужна функция СТЕПЕНЬ",IF(NOT(AND(IFERROR(ABS(C2-(POWER(A2,B2)))&lt;=0.01*MAX(1,ABS(POWER(A2,B2))),FALSE))),"✗ ответ неверный — проверь формулу","✓ верно"))))</f>
        <v/>
      </c>
    </row>
    <row r="3">
      <c r="A3" s="6" t="n">
        <v>3</v>
      </c>
      <c r="B3" s="6" t="n">
        <v>2</v>
      </c>
      <c r="C3" s="4" t="n"/>
      <c r="D3" s="4" t="n"/>
      <c r="E3" s="6" t="n"/>
      <c r="F3" s="4" t="n"/>
      <c r="G3" s="6" t="n"/>
      <c r="H3" s="6" t="n"/>
      <c r="J3" s="8" t="n">
        <v>2</v>
      </c>
      <c r="K3" s="8" t="inlineStr">
        <is>
          <t>протягивание</t>
        </is>
      </c>
      <c r="L3" s="8" t="inlineStr">
        <is>
          <t>Протяни C2 до C6. Что в C5?</t>
        </is>
      </c>
      <c r="M3" s="8" t="inlineStr">
        <is>
          <t>C5</t>
        </is>
      </c>
      <c r="N3" s="9">
        <f>IF(ISBLANK(C5),"—",IF( OR(NOT(_xlfn.ISFORMULA(C5))),"✗ нужна формула, а не число (протяни формулу вниз)",IF(NOT(AND(IFERROR(ABS(C5-(POWER(A5,B5)))&lt;=0.01*MAX(1,ABS(POWER(A5,B5))),FALSE))),"✗ ответ неверный — проверь формулу","✓ верно")))</f>
        <v/>
      </c>
    </row>
    <row r="4">
      <c r="A4" s="6" t="n">
        <v>5</v>
      </c>
      <c r="B4" s="6" t="n">
        <v>0</v>
      </c>
      <c r="C4" s="4" t="n"/>
      <c r="D4" s="4" t="n"/>
      <c r="E4" s="6" t="n"/>
      <c r="F4" s="4" t="n"/>
      <c r="G4" s="6" t="n"/>
      <c r="H4" s="6" t="n"/>
      <c r="J4" s="8" t="n">
        <v>3</v>
      </c>
      <c r="K4" s="8" t="inlineStr">
        <is>
          <t>отрицательная степень</t>
        </is>
      </c>
      <c r="L4" s="8" t="inlineStr">
        <is>
          <t>Что в C6? Число 4 в степени −1.</t>
        </is>
      </c>
      <c r="M4" s="8" t="inlineStr">
        <is>
          <t>C6</t>
        </is>
      </c>
      <c r="N4" s="9">
        <f>IF(ISBLANK(C6),"—",IF( OR(NOT(_xlfn.ISFORMULA(C6))),"✗ нужна формула, а не число",IF(NOT(AND(IFERROR(ABS(C6-(POWER(A6,B6)))&lt;=0.01*MAX(1,ABS(POWER(A6,B6))),FALSE))),"✗ ответ неверный — проверь формулу","✓ верно")))</f>
        <v/>
      </c>
    </row>
    <row r="5">
      <c r="A5" s="6" t="n">
        <v>10</v>
      </c>
      <c r="B5" s="6" t="n">
        <v>4</v>
      </c>
      <c r="C5" s="4" t="n"/>
      <c r="D5" s="4" t="n"/>
      <c r="E5" s="6" t="n"/>
      <c r="F5" s="4" t="n"/>
      <c r="G5" s="6" t="n"/>
      <c r="H5" s="6" t="n"/>
      <c r="J5" s="8" t="n">
        <v>4</v>
      </c>
      <c r="K5" s="8" t="inlineStr">
        <is>
          <t>знак ^</t>
        </is>
      </c>
      <c r="L5" s="8" t="inlineStr">
        <is>
          <t>В D2 сделай то же знаком ^ и протяни вниз. Что в D3? Совпадает ли с C3?</t>
        </is>
      </c>
      <c r="M5" s="8" t="inlineStr">
        <is>
          <t>D2 → протяни вниз; ответ в D3</t>
        </is>
      </c>
      <c r="N5" s="9">
        <f>IF(ISBLANK(D3),"—",IF( OR(NOT(_xlfn.ISFORMULA(D3)),NOT(_xlfn.ISFORMULA(D6))),"✗ нужна формула, а не число (протяни формулу вниз)",IF(OR(ISNUMBER(SEARCH("СТЕПЕНЬ(",IFERROR(_xlfn.FORMULATEXT(D3),""))),ISNUMBER(SEARCH("POWER(",IFERROR(_xlfn.FORMULATEXT(D3),"")))),"✗ здесь обойдись без СТЕПЕНЬ",IF(NOT(AND(IFERROR(ABS(D3-(A3^B3))&lt;=0.01*MAX(1,ABS(A3^B3)),FALSE),IFERROR(ABS(D6-(A6^B6))&lt;=0.01*MAX(1,ABS(A6^B6)),FALSE))),"✗ ответ неверный — проверь формулу",IF(ISERROR(SEARCH("^",IFERROR(_xlfn.FORMULATEXT(D3),""))),"✗ ответ верный, но запиши так, как просит шаг","✓ верно")))))</f>
        <v/>
      </c>
    </row>
    <row r="6">
      <c r="A6" s="6" t="n">
        <v>4</v>
      </c>
      <c r="B6" s="6" t="n">
        <v>-1</v>
      </c>
      <c r="C6" s="4" t="n"/>
      <c r="D6" s="4" t="n"/>
      <c r="E6" s="6" t="n"/>
      <c r="F6" s="6" t="n"/>
      <c r="G6" s="6" t="n"/>
      <c r="H6" s="6" t="n"/>
      <c r="J6" s="8" t="n">
        <v>5</v>
      </c>
      <c r="K6" s="8" t="inlineStr">
        <is>
          <t>ячейка + число</t>
        </is>
      </c>
      <c r="L6" s="8" t="inlineStr">
        <is>
          <t>Возведи число из A2 в 10-ю степень.</t>
        </is>
      </c>
      <c r="M6" s="8" t="inlineStr">
        <is>
          <t>F2</t>
        </is>
      </c>
      <c r="N6" s="9">
        <f>IF(ISBLANK(F2),"—",IF( OR(NOT(_xlfn.ISFORMULA(F2))),"✗ нужна формула, а не число",IF(NOT(OR(ISNUMBER(SEARCH("СТЕПЕНЬ(",IFERROR(_xlfn.FORMULATEXT(F2),""))),ISNUMBER(SEARCH("POWER(",IFERROR(_xlfn.FORMULATEXT(F2),""))))),"✗ нужна функция СТЕПЕНЬ",IF(NOT(AND(IFERROR(ABS(F2-(POWER(A2,10)))&lt;=0.01*MAX(1,ABS(POWER(A2,10))),FALSE))),"✗ ответ неверный — проверь формулу",IF(ISERROR(SEARCH("10",IFERROR(_xlfn.FORMULATEXT(F2),""))),"✗ ответ верный, но запиши так, как просит шаг","✓ верно")))))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J7" s="8" t="n">
        <v>6</v>
      </c>
      <c r="K7" s="8" t="inlineStr">
        <is>
          <t>объём куба</t>
        </is>
      </c>
      <c r="L7" s="8" t="inlineStr">
        <is>
          <t>Ребро кубика 7 см. Найди его объём.</t>
        </is>
      </c>
      <c r="M7" s="8" t="inlineStr">
        <is>
          <t>F3</t>
        </is>
      </c>
      <c r="N7" s="9">
        <f>IF(ISBLANK(F3),"—",IF( OR(NOT(_xlfn.ISFORMULA(F3))),"✗ нужна формула, а не число",IF(NOT(OR(ISNUMBER(SEARCH("СТЕПЕНЬ(",IFERROR(_xlfn.FORMULATEXT(F3),""))),ISNUMBER(SEARCH("POWER(",IFERROR(_xlfn.FORMULATEXT(F3),""))))),"✗ нужна функция СТЕПЕНЬ",IF(NOT(AND(IFERROR(ABS(F3-(343))&lt;=0.01*MAX(1,ABS(343)),FALSE))),"✗ ответ неверный — проверь формулу","✓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J8" s="8" t="n">
        <v>7</v>
      </c>
      <c r="K8" s="8" t="inlineStr">
        <is>
          <t>сложное: корень через степень</t>
        </is>
      </c>
      <c r="L8" s="8" t="inlineStr">
        <is>
          <t>Найди корень из 81 с помощью СТЕПЕНЬ, без функции КОРЕНЬ.</t>
        </is>
      </c>
      <c r="M8" s="8" t="inlineStr">
        <is>
          <t>F4</t>
        </is>
      </c>
      <c r="N8" s="9">
        <f>IF(ISBLANK(F4),"—",IF( OR(NOT(_xlfn.ISFORMULA(F4))),"✗ нужна формула, а не число",IF(NOT(OR(ISNUMBER(SEARCH("СТЕПЕНЬ(",IFERROR(_xlfn.FORMULATEXT(F4),""))),ISNUMBER(SEARCH("POWER(",IFERROR(_xlfn.FORMULATEXT(F4),""))))),"✗ нужна функция СТЕПЕНЬ",IF(OR(ISNUMBER(SEARCH("КОРЕНЬ(",IFERROR(_xlfn.FORMULATEXT(F4),""))),ISNUMBER(SEARCH("SQRT(",IFERROR(_xlfn.FORMULATEXT(F4),"")))),"✗ здесь обойдись без КОРЕНЬ",IF(NOT(AND(IFERROR(ABS(F4-(9))&lt;=0.01*MAX(1,ABS(9)),FALSE))),"✗ ответ неверный — проверь формулу","✓ верно")))))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J9" s="8" t="n">
        <v>8</v>
      </c>
      <c r="K9" s="8" t="inlineStr">
        <is>
          <t>сложное: вклад</t>
        </is>
      </c>
      <c r="L9" s="8" t="inlineStr">
        <is>
          <t>Вклад 100 000 тг под 10% годовых. Сколько будет через 3 года? Каждый год сумма умножается на 1,1.</t>
        </is>
      </c>
      <c r="M9" s="8" t="inlineStr">
        <is>
          <t>F5</t>
        </is>
      </c>
      <c r="N9" s="9">
        <f>IF(ISBLANK(F5),"—",IF( OR(NOT(_xlfn.ISFORMULA(F5))),"✗ нужна формула, а не число",IF(NOT(OR(ISNUMBER(SEARCH("СТЕПЕНЬ(",IFERROR(_xlfn.FORMULATEXT(F5),""))),ISNUMBER(SEARCH("POWER(",IFERROR(_xlfn.FORMULATEXT(F5),""))))),"✗ нужна функция СТЕПЕНЬ",IF(NOT(AND(IFERROR(ABS(F5-(133100))&lt;=0.01*MAX(1,ABS(133100)),FALSE))),"✗ ответ неверный — проверь формулу","✓ верно"))))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Выполнено шагов:</t>
        </is>
      </c>
      <c r="N11" s="11">
        <f>COUNTIF(N2:N9,"✓*")&amp;" из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День</t>
        </is>
      </c>
      <c r="B1" s="5" t="inlineStr">
        <is>
          <t>Категория</t>
        </is>
      </c>
      <c r="C1" s="5" t="inlineStr">
        <is>
          <t>Сумма, тг</t>
        </is>
      </c>
      <c r="D1" s="6" t="n"/>
      <c r="E1" s="6" t="n"/>
      <c r="F1" s="6" t="n"/>
      <c r="G1" s="6" t="n"/>
      <c r="H1" s="6" t="n"/>
      <c r="J1" s="7" t="inlineStr">
        <is>
          <t>№</t>
        </is>
      </c>
      <c r="K1" s="7" t="inlineStr">
        <is>
          <t>Тип шага</t>
        </is>
      </c>
      <c r="L1" s="7" t="inlineStr">
        <is>
          <t>Задание</t>
        </is>
      </c>
      <c r="M1" s="7" t="inlineStr">
        <is>
          <t>Ячейка</t>
        </is>
      </c>
      <c r="N1" s="7" t="inlineStr">
        <is>
          <t>Проверка</t>
        </is>
      </c>
    </row>
    <row r="2">
      <c r="A2" s="6" t="inlineStr">
        <is>
          <t>Пн</t>
        </is>
      </c>
      <c r="B2" s="6" t="inlineStr">
        <is>
          <t>доход</t>
        </is>
      </c>
      <c r="C2" s="6" t="n">
        <v>2000</v>
      </c>
      <c r="D2" s="6" t="n"/>
      <c r="E2" s="6" t="n"/>
      <c r="F2" s="4" t="n"/>
      <c r="G2" s="6" t="n"/>
      <c r="H2" s="6" t="n"/>
      <c r="J2" s="8" t="n">
        <v>1</v>
      </c>
      <c r="K2" s="8" t="inlineStr">
        <is>
          <t>условие &gt;0</t>
        </is>
      </c>
      <c r="L2" s="8" t="inlineStr">
        <is>
          <t>Сколько денег получено за неделю? Сложи только положительные суммы.</t>
        </is>
      </c>
      <c r="M2" s="8" t="inlineStr">
        <is>
          <t>F2</t>
        </is>
      </c>
      <c r="N2" s="9">
        <f>IF(ISBLANK(F2),"—",IF( OR(NOT(_xlfn.ISFORMULA(F2))),"✗ нужна формула, а не число",IF(NOT(OR(ISNUMBER(SEARCH("СУММЕСЛИ(",IFERROR(_xlfn.FORMULATEXT(F2),""))),ISNUMBER(SEARCH("SUMIF(",IFERROR(_xlfn.FORMULATEXT(F2),""))))),"✗ нужна функция СУММЕСЛИ",IF(NOT(AND(IFERROR(ABS(F2-(SUMIF(C2:C9,"&gt;0")))&lt;=0.01*MAX(1,ABS(SUMIF(C2:C9,"&gt;0"))),FALSE))),"✗ ответ неверный — проверь формулу",IF(ISERROR(SEARCH("&gt;0",IFERROR(_xlfn.FORMULATEXT(F2),""))),"✗ ответ верный, но запиши так, как просит шаг","✓ верно")))))</f>
        <v/>
      </c>
    </row>
    <row r="3">
      <c r="A3" s="6" t="inlineStr">
        <is>
          <t>Пн</t>
        </is>
      </c>
      <c r="B3" s="6" t="inlineStr">
        <is>
          <t>еда</t>
        </is>
      </c>
      <c r="C3" s="6" t="n">
        <v>-450</v>
      </c>
      <c r="D3" s="6" t="n"/>
      <c r="E3" s="6" t="n"/>
      <c r="F3" s="4" t="n"/>
      <c r="G3" s="6" t="n"/>
      <c r="H3" s="6" t="n"/>
      <c r="J3" s="8" t="n">
        <v>2</v>
      </c>
      <c r="K3" s="8" t="inlineStr">
        <is>
          <t>условие &lt;0</t>
        </is>
      </c>
      <c r="L3" s="8" t="inlineStr">
        <is>
          <t>Сколько потрачено? Сложи только отрицательные суммы.</t>
        </is>
      </c>
      <c r="M3" s="8" t="inlineStr">
        <is>
          <t>F3</t>
        </is>
      </c>
      <c r="N3" s="9">
        <f>IF(ISBLANK(F3),"—",IF( OR(NOT(_xlfn.ISFORMULA(F3))),"✗ нужна формула, а не число",IF(NOT(OR(ISNUMBER(SEARCH("СУММЕСЛИ(",IFERROR(_xlfn.FORMULATEXT(F3),""))),ISNUMBER(SEARCH("SUMIF(",IFERROR(_xlfn.FORMULATEXT(F3),""))))),"✗ нужна функция СУММЕСЛИ",IF(NOT(AND(IFERROR(ABS(F3-(SUMIF(C2:C9,"&lt;0")))&lt;=0.01*MAX(1,ABS(SUMIF(C2:C9,"&lt;0"))),FALSE))),"✗ ответ неверный — проверь формулу",IF(ISERROR(SEARCH("&lt;0",IFERROR(_xlfn.FORMULATEXT(F3),""))),"✗ ответ верный, но запиши так, как просит шаг","✓ верно")))))</f>
        <v/>
      </c>
    </row>
    <row r="4">
      <c r="A4" s="6" t="inlineStr">
        <is>
          <t>Вт</t>
        </is>
      </c>
      <c r="B4" s="6" t="inlineStr">
        <is>
          <t>транспорт</t>
        </is>
      </c>
      <c r="C4" s="6" t="n">
        <v>-200</v>
      </c>
      <c r="D4" s="6" t="n"/>
      <c r="E4" s="6" t="n"/>
      <c r="F4" s="4" t="n"/>
      <c r="G4" s="6" t="n"/>
      <c r="H4" s="6" t="n"/>
      <c r="J4" s="8" t="n">
        <v>3</v>
      </c>
      <c r="K4" s="8" t="inlineStr">
        <is>
          <t>текст + диапазон суммирования</t>
        </is>
      </c>
      <c r="L4" s="8" t="inlineStr">
        <is>
          <t>Сколько ушло на еду? Ищем «еда» в столбце B, складываем столбец C.</t>
        </is>
      </c>
      <c r="M4" s="8" t="inlineStr">
        <is>
          <t>F4</t>
        </is>
      </c>
      <c r="N4" s="9">
        <f>IF(ISBLANK(F4),"—",IF( OR(NOT(_xlfn.ISFORMULA(F4))),"✗ нужна формула, а не число",IF(NOT(OR(ISNUMBER(SEARCH("СУММЕСЛИ(",IFERROR(_xlfn.FORMULATEXT(F4),""))),ISNUMBER(SEARCH("SUMIF(",IFERROR(_xlfn.FORMULATEXT(F4),""))))),"✗ нужна функция СУММЕСЛИ",IF(NOT(AND(IFERROR(ABS(F4-(SUMIF(B2:B9,"еда",C2:C9)))&lt;=0.01*MAX(1,ABS(SUMIF(B2:B9,"еда",C2:C9))),FALSE))),"✗ ответ неверный — проверь формулу",IF(ISERROR(SEARCH("еда",IFERROR(_xlfn.FORMULATEXT(F4),""))),"✗ ответ верный, но запиши так, как просит шаг","✓ верно")))))</f>
        <v/>
      </c>
    </row>
    <row r="5">
      <c r="A5" s="6" t="inlineStr">
        <is>
          <t>Ср</t>
        </is>
      </c>
      <c r="B5" s="6" t="inlineStr">
        <is>
          <t>еда</t>
        </is>
      </c>
      <c r="C5" s="6" t="n">
        <v>-600</v>
      </c>
      <c r="D5" s="6" t="n"/>
      <c r="E5" s="6" t="n"/>
      <c r="F5" s="4" t="n"/>
      <c r="G5" s="6" t="n"/>
      <c r="H5" s="6" t="n"/>
      <c r="J5" s="8" t="n">
        <v>4</v>
      </c>
      <c r="K5" s="8" t="inlineStr">
        <is>
          <t>условие из ячейки</t>
        </is>
      </c>
      <c r="L5" s="8" t="inlineStr">
        <is>
          <t>Впиши в E5 слово «транспорт». В F5 сложи суммы этой категории, указав условием ячейку E5 (без кавычек).</t>
        </is>
      </c>
      <c r="M5" s="8" t="inlineStr">
        <is>
          <t>F5</t>
        </is>
      </c>
      <c r="N5" s="9">
        <f>IF(ISBLANK(F5),"—",IF(NOT(E5&lt;&gt;""),"✗ сначала впиши категорию в E5",IF( OR(NOT(_xlfn.ISFORMULA(F5))),"✗ нужна формула, а не число",IF(NOT(OR(ISNUMBER(SEARCH("СУММЕСЛИ(",IFERROR(_xlfn.FORMULATEXT(F5),""))),ISNUMBER(SEARCH("SUMIF(",IFERROR(_xlfn.FORMULATEXT(F5),""))))),"✗ нужна функция СУММЕСЛИ",IF(NOT(AND(IFERROR(ABS(F5-(SUMIF(B2:B9,E5,C2:C9)))&lt;=0.01*MAX(1,ABS(SUMIF(B2:B9,E5,C2:C9))),FALSE))),"✗ ответ неверный — проверь формулу",IF(ISERROR(SEARCH("E5",IFERROR(_xlfn.FORMULATEXT(F5),""))),"✗ ответ верный, но запиши так, как просит шаг","✓ верно"))))))</f>
        <v/>
      </c>
    </row>
    <row r="6">
      <c r="A6" s="6" t="inlineStr">
        <is>
          <t>Чт</t>
        </is>
      </c>
      <c r="B6" s="6" t="inlineStr">
        <is>
          <t>игры</t>
        </is>
      </c>
      <c r="C6" s="6" t="n">
        <v>-1500</v>
      </c>
      <c r="D6" s="6" t="n"/>
      <c r="E6" s="6" t="n"/>
      <c r="F6" s="4" t="n"/>
      <c r="G6" s="6" t="n"/>
      <c r="H6" s="6" t="n"/>
      <c r="J6" s="8" t="n">
        <v>5</v>
      </c>
      <c r="K6" s="8" t="inlineStr">
        <is>
          <t>условие с числом</t>
        </is>
      </c>
      <c r="L6" s="8" t="inlineStr">
        <is>
          <t>Сложи только крупные траты — меньше −500.</t>
        </is>
      </c>
      <c r="M6" s="8" t="inlineStr">
        <is>
          <t>F6</t>
        </is>
      </c>
      <c r="N6" s="9">
        <f>IF(ISBLANK(F6),"—",IF( OR(NOT(_xlfn.ISFORMULA(F6))),"✗ нужна формула, а не число",IF(NOT(OR(ISNUMBER(SEARCH("СУММЕСЛИ(",IFERROR(_xlfn.FORMULATEXT(F6),""))),ISNUMBER(SEARCH("SUMIF(",IFERROR(_xlfn.FORMULATEXT(F6),""))))),"✗ нужна функция СУММЕСЛИ",IF(NOT(AND(IFERROR(ABS(F6-(SUMIF(C2:C9,"&lt;-500")))&lt;=0.01*MAX(1,ABS(SUMIF(C2:C9,"&lt;-500"))),FALSE))),"✗ ответ неверный — проверь формулу",IF(ISERROR(SEARCH("&lt;-500",IFERROR(_xlfn.FORMULATEXT(F6),""))),"✗ ответ верный, но запиши так, как просит шаг","✓ верно")))))</f>
        <v/>
      </c>
    </row>
    <row r="7">
      <c r="A7" s="6" t="inlineStr">
        <is>
          <t>Пт</t>
        </is>
      </c>
      <c r="B7" s="6" t="inlineStr">
        <is>
          <t>доход</t>
        </is>
      </c>
      <c r="C7" s="6" t="n">
        <v>1000</v>
      </c>
      <c r="D7" s="6" t="n"/>
      <c r="E7" s="6" t="n"/>
      <c r="F7" s="4" t="n"/>
      <c r="G7" s="6" t="n"/>
      <c r="H7" s="6" t="n"/>
      <c r="J7" s="8" t="n">
        <v>6</v>
      </c>
      <c r="K7" s="8" t="inlineStr">
        <is>
          <t>сложное: без минуса</t>
        </is>
      </c>
      <c r="L7" s="8" t="inlineStr">
        <is>
          <t>Сколько потрачено — без минуса? Одна формула.</t>
        </is>
      </c>
      <c r="M7" s="8" t="inlineStr">
        <is>
          <t>F7</t>
        </is>
      </c>
      <c r="N7" s="9">
        <f>IF(ISBLANK(F7),"—",IF( OR(NOT(_xlfn.ISFORMULA(F7))),"✗ нужна формула, а не число",IF(NOT(OR(ISNUMBER(SEARCH("СУММЕСЛИ(",IFERROR(_xlfn.FORMULATEXT(F7),""))),ISNUMBER(SEARCH("SUMIF(",IFERROR(_xlfn.FORMULATEXT(F7),""))))),"✗ нужна функция СУММЕСЛИ",IF(NOT(OR(ISNUMBER(SEARCH("ABS(",IFERROR(_xlfn.FORMULATEXT(F7),""))),ISNUMBER(SEARCH("ABS(",IFERROR(_xlfn.FORMULATEXT(F7),""))))),"✗ нужна функция ABS",IF(NOT(AND(IFERROR(ABS(F7-(-SUMIF(C2:C9,"&lt;0")))&lt;=0.01*MAX(1,ABS(-SUMIF(C2:C9,"&lt;0"))),FALSE))),"✗ ответ неверный — проверь формулу","✓ верно")))))</f>
        <v/>
      </c>
    </row>
    <row r="8">
      <c r="A8" s="6" t="inlineStr">
        <is>
          <t>Сб</t>
        </is>
      </c>
      <c r="B8" s="6" t="inlineStr">
        <is>
          <t>еда</t>
        </is>
      </c>
      <c r="C8" s="6" t="n">
        <v>-350</v>
      </c>
      <c r="D8" s="6" t="n"/>
      <c r="E8" s="6" t="n"/>
      <c r="F8" s="4" t="n"/>
      <c r="G8" s="6" t="n"/>
      <c r="H8" s="6" t="n"/>
      <c r="J8" s="8" t="n">
        <v>7</v>
      </c>
      <c r="K8" s="8" t="inlineStr">
        <is>
          <t>сложное: остаток</t>
        </is>
      </c>
      <c r="L8" s="8" t="inlineStr">
        <is>
          <t>Сколько денег осталось к концу недели? Что значит минус в ответе?</t>
        </is>
      </c>
      <c r="M8" s="8" t="inlineStr">
        <is>
          <t>F8</t>
        </is>
      </c>
      <c r="N8" s="9">
        <f>IF(ISBLANK(F8),"—",IF( OR(NOT(_xlfn.ISFORMULA(F8))),"✗ нужна формула, а не число",IF(NOT(OR(ISNUMBER(SEARCH("СУММ(",IFERROR(_xlfn.FORMULATEXT(F8),""))),ISNUMBER(SEARCH("SUM(",IFERROR(_xlfn.FORMULATEXT(F8),""))))),"✗ нужна функция СУММ",IF(NOT(AND(IFERROR(ABS(F8-(SUM(C2:C9)))&lt;=0.01*MAX(1,ABS(SUM(C2:C9))),FALSE))),"✗ ответ неверный — проверь формулу","✓ верно"))))</f>
        <v/>
      </c>
    </row>
    <row r="9">
      <c r="A9" s="6" t="inlineStr">
        <is>
          <t>Вс</t>
        </is>
      </c>
      <c r="B9" s="6" t="inlineStr">
        <is>
          <t>транспорт</t>
        </is>
      </c>
      <c r="C9" s="6" t="n">
        <v>-200</v>
      </c>
      <c r="D9" s="6" t="n"/>
      <c r="E9" s="6" t="n"/>
      <c r="F9" s="6" t="n"/>
      <c r="G9" s="6" t="n"/>
      <c r="H9" s="6" t="n"/>
      <c r="J9" s="8" t="n">
        <v>8</v>
      </c>
      <c r="K9" s="8" t="inlineStr">
        <is>
          <t>сложное: смена условия</t>
        </is>
      </c>
      <c r="L9" s="8" t="inlineStr">
        <is>
          <t>Замени в E5 слово на «игры». Что теперь в F5? Формулу не меняй.</t>
        </is>
      </c>
      <c r="M9" s="8" t="inlineStr">
        <is>
          <t>F5</t>
        </is>
      </c>
      <c r="N9" s="9">
        <f>IF(ISBLANK(F5),"—",IF(NOT(E5="игры"),"✗ сначала замени в E5 слово на «игры»",IF( OR(NOT(_xlfn.ISFORMULA(F5))),"✗ нужна формула, а не число",IF(NOT(OR(ISNUMBER(SEARCH("СУММЕСЛИ(",IFERROR(_xlfn.FORMULATEXT(F5),""))),ISNUMBER(SEARCH("SUMIF(",IFERROR(_xlfn.FORMULATEXT(F5),""))))),"✗ нужна функция СУММЕСЛИ",IF(NOT(AND(IFERROR(ABS(F5-(SUMIF(B2:B9,E5,C2:C9)))&lt;=0.01*MAX(1,ABS(SUMIF(B2:B9,E5,C2:C9))),FALSE))),"✗ ответ неверный — проверь формулу","✓ верно")))))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L11" s="10" t="inlineStr">
        <is>
          <t>Выполнено шагов:</t>
        </is>
      </c>
      <c r="N11" s="11">
        <f>COUNTIF(N2:N9,"✓*")&amp;" из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10" max="10"/>
    <col width="20" customWidth="1" min="11" max="11"/>
    <col width="60" customWidth="1" min="12" max="12"/>
    <col width="16" customWidth="1" min="13" max="13"/>
    <col width="34" customWidth="1" min="14" max="14"/>
  </cols>
  <sheetData>
    <row r="1">
      <c r="A1" s="5" t="inlineStr">
        <is>
          <t>Площадь пола, м²</t>
        </is>
      </c>
      <c r="B1" s="5" t="n">
        <v>16</v>
      </c>
      <c r="C1" s="6" t="n"/>
      <c r="D1" s="6" t="n"/>
      <c r="E1" s="4" t="n"/>
      <c r="F1" s="6" t="n"/>
      <c r="G1" s="6" t="n"/>
      <c r="H1" s="6" t="n"/>
      <c r="J1" s="7" t="inlineStr">
        <is>
          <t>№</t>
        </is>
      </c>
      <c r="K1" s="7" t="inlineStr">
        <is>
          <t>Тип шага</t>
        </is>
      </c>
      <c r="L1" s="7" t="inlineStr">
        <is>
          <t>Задание</t>
        </is>
      </c>
      <c r="M1" s="7" t="inlineStr">
        <is>
          <t>Ячейка</t>
        </is>
      </c>
      <c r="N1" s="7" t="inlineStr">
        <is>
          <t>Проверка</t>
        </is>
      </c>
    </row>
    <row r="2">
      <c r="A2" s="6" t="inlineStr">
        <is>
          <t>Высота стен, м</t>
        </is>
      </c>
      <c r="B2" s="6" t="n">
        <v>2.5</v>
      </c>
      <c r="C2" s="6" t="n"/>
      <c r="D2" s="6" t="n"/>
      <c r="E2" s="4" t="n"/>
      <c r="F2" s="6" t="n"/>
      <c r="G2" s="6" t="n"/>
      <c r="H2" s="6" t="n"/>
      <c r="J2" s="8" t="n">
        <v>1</v>
      </c>
      <c r="K2" s="8" t="inlineStr">
        <is>
          <t>КОРЕНЬ</t>
        </is>
      </c>
      <c r="L2" s="8" t="inlineStr">
        <is>
          <t>Какой длины стена комнаты? Комната квадратная.</t>
        </is>
      </c>
      <c r="M2" s="8" t="inlineStr">
        <is>
          <t>E1</t>
        </is>
      </c>
      <c r="N2" s="9">
        <f>IF(ISBLANK(E1),"—",IF( OR(NOT(_xlfn.ISFORMULA(E1))),"✗ нужна формула, а не число",IF(NOT(OR(ISNUMBER(SEARCH("КОРЕНЬ(",IFERROR(_xlfn.FORMULATEXT(E1),""))),ISNUMBER(SEARCH("SQRT(",IFERROR(_xlfn.FORMULATEXT(E1),""))))),"✗ нужна функция КОРЕНЬ",IF(NOT(AND(IFERROR(ABS(E1-(SQRT(B1)))&lt;=0.01*MAX(1,ABS(SQRT(B1))),FALSE))),"✗ ответ неверный — проверь формулу","✓ верно"))))</f>
        <v/>
      </c>
    </row>
    <row r="3">
      <c r="A3" s="6" t="inlineStr">
        <is>
          <t>Бюджет, тг</t>
        </is>
      </c>
      <c r="B3" s="6" t="n">
        <v>100000</v>
      </c>
      <c r="C3" s="6" t="n"/>
      <c r="D3" s="6" t="n"/>
      <c r="E3" s="4" t="n"/>
      <c r="F3" s="6" t="n"/>
      <c r="G3" s="6" t="n"/>
      <c r="H3" s="6" t="n"/>
      <c r="J3" s="8" t="n">
        <v>2</v>
      </c>
      <c r="K3" s="8" t="inlineStr">
        <is>
          <t>СТЕПЕНЬ</t>
        </is>
      </c>
      <c r="L3" s="8" t="inlineStr">
        <is>
          <t>Проверь: возведи сторону из E1 в квадрат — должна получиться площадь пола.</t>
        </is>
      </c>
      <c r="M3" s="8" t="inlineStr">
        <is>
          <t>E2</t>
        </is>
      </c>
      <c r="N3" s="9">
        <f>IF(ISBLANK(E2),"—",IF( OR(NOT(_xlfn.ISFORMULA(E2))),"✗ нужна формула, а не число",IF(NOT(OR(ISNUMBER(SEARCH("СТЕПЕНЬ(",IFERROR(_xlfn.FORMULATEXT(E2),""))),ISNUMBER(SEARCH("POWER(",IFERROR(_xlfn.FORMULATEXT(E2),""))))),"✗ нужна функция СТЕПЕНЬ",IF(NOT(AND(IFERROR(ABS(E2-(B1))&lt;=0.01*MAX(1,ABS(B1)),FALSE))),"✗ ответ неверный — проверь формулу","✓ верно"))))</f>
        <v/>
      </c>
    </row>
    <row r="4">
      <c r="A4" s="6" t="n"/>
      <c r="B4" s="6" t="n"/>
      <c r="C4" s="6" t="n"/>
      <c r="D4" s="6" t="n"/>
      <c r="E4" s="4" t="n"/>
      <c r="F4" s="6" t="n"/>
      <c r="G4" s="6" t="n"/>
      <c r="H4" s="6" t="n"/>
      <c r="J4" s="8" t="n">
        <v>3</v>
      </c>
      <c r="K4" s="8" t="inlineStr">
        <is>
          <t>формула с ячейками</t>
        </is>
      </c>
      <c r="L4" s="8" t="inlineStr">
        <is>
          <t>Какова площадь всех 4 стен? Стена — прямоугольник: длина × высота.</t>
        </is>
      </c>
      <c r="M4" s="8" t="inlineStr">
        <is>
          <t>E3</t>
        </is>
      </c>
      <c r="N4" s="9">
        <f>IF(ISBLANK(E3),"—",IF( OR(NOT(_xlfn.ISFORMULA(E3))),"✗ нужна формула, а не число",IF(NOT(AND(IFERROR(ABS(E3-(4*SQRT(B1)*B2))&lt;=0.01*MAX(1,ABS(4*SQRT(B1)*B2)),FALSE))),"✗ ответ неверный — проверь формулу","✓ верно")))</f>
        <v/>
      </c>
    </row>
    <row r="5">
      <c r="A5" s="5" t="inlineStr">
        <is>
          <t>Товар</t>
        </is>
      </c>
      <c r="B5" s="5" t="inlineStr">
        <is>
          <t>Категория</t>
        </is>
      </c>
      <c r="C5" s="5" t="inlineStr">
        <is>
          <t>Цена, тг</t>
        </is>
      </c>
      <c r="D5" s="6" t="n"/>
      <c r="E5" s="4" t="n"/>
      <c r="F5" s="6" t="n"/>
      <c r="G5" s="6" t="n"/>
      <c r="H5" s="6" t="n"/>
      <c r="J5" s="8" t="n">
        <v>4</v>
      </c>
      <c r="K5" s="8" t="inlineStr">
        <is>
          <t>СУММ</t>
        </is>
      </c>
      <c r="L5" s="8" t="inlineStr">
        <is>
          <t>Сколько стоят все покупки по смете?</t>
        </is>
      </c>
      <c r="M5" s="8" t="inlineStr">
        <is>
          <t>E4</t>
        </is>
      </c>
      <c r="N5" s="9">
        <f>IF(ISBLANK(E4),"—",IF( OR(NOT(_xlfn.ISFORMULA(E4))),"✗ нужна формула, а не число",IF(NOT(OR(ISNUMBER(SEARCH("СУММ(",IFERROR(_xlfn.FORMULATEXT(E4),""))),ISNUMBER(SEARCH("SUM(",IFERROR(_xlfn.FORMULATEXT(E4),""))))),"✗ нужна функция СУММ",IF(NOT(AND(IFERROR(ABS(E4-(SUM(C6:C11)))&lt;=0.01*MAX(1,ABS(SUM(C6:C11))),FALSE))),"✗ ответ неверный — проверь формулу","✓ верно"))))</f>
        <v/>
      </c>
    </row>
    <row r="6">
      <c r="A6" s="6" t="inlineStr">
        <is>
          <t>Краска белая</t>
        </is>
      </c>
      <c r="B6" s="6" t="inlineStr">
        <is>
          <t>краска</t>
        </is>
      </c>
      <c r="C6" s="6" t="n">
        <v>12000</v>
      </c>
      <c r="D6" s="6" t="n"/>
      <c r="E6" s="4" t="n"/>
      <c r="F6" s="6" t="n"/>
      <c r="G6" s="6" t="n"/>
      <c r="H6" s="6" t="n"/>
      <c r="J6" s="8" t="n">
        <v>5</v>
      </c>
      <c r="K6" s="8" t="inlineStr">
        <is>
          <t>СУММЕСЛИ</t>
        </is>
      </c>
      <c r="L6" s="8" t="inlineStr">
        <is>
          <t>Сколько стоит только краска?</t>
        </is>
      </c>
      <c r="M6" s="8" t="inlineStr">
        <is>
          <t>E5</t>
        </is>
      </c>
      <c r="N6" s="9">
        <f>IF(ISBLANK(E5),"—",IF( OR(NOT(_xlfn.ISFORMULA(E5))),"✗ нужна формула, а не число",IF(NOT(OR(ISNUMBER(SEARCH("СУММЕСЛИ(",IFERROR(_xlfn.FORMULATEXT(E5),""))),ISNUMBER(SEARCH("SUMIF(",IFERROR(_xlfn.FORMULATEXT(E5),""))))),"✗ нужна функция СУММЕСЛИ",IF(NOT(AND(IFERROR(ABS(E5-(SUMIF(B6:B11,"краска",C6:C11)))&lt;=0.01*MAX(1,ABS(SUMIF(B6:B11,"краска",C6:C11))),FALSE))),"✗ ответ неверный — проверь формулу","✓ верно"))))</f>
        <v/>
      </c>
    </row>
    <row r="7">
      <c r="A7" s="6" t="inlineStr">
        <is>
          <t>Краска синяя</t>
        </is>
      </c>
      <c r="B7" s="6" t="inlineStr">
        <is>
          <t>краска</t>
        </is>
      </c>
      <c r="C7" s="6" t="n">
        <v>9500</v>
      </c>
      <c r="D7" s="6" t="n"/>
      <c r="E7" s="4" t="n"/>
      <c r="F7" s="6" t="n"/>
      <c r="G7" s="6" t="n"/>
      <c r="H7" s="6" t="n"/>
      <c r="J7" s="8" t="n">
        <v>6</v>
      </c>
      <c r="K7" s="8" t="inlineStr">
        <is>
          <t>ABS</t>
        </is>
      </c>
      <c r="L7" s="8" t="inlineStr">
        <is>
          <t>На сколько смета отличается от бюджета? Ответ без минуса.</t>
        </is>
      </c>
      <c r="M7" s="8" t="inlineStr">
        <is>
          <t>E6</t>
        </is>
      </c>
      <c r="N7" s="9">
        <f>IF(ISBLANK(E6),"—",IF( OR(NOT(_xlfn.ISFORMULA(E6))),"✗ нужна формула, а не число",IF(NOT(OR(ISNUMBER(SEARCH("ABS(",IFERROR(_xlfn.FORMULATEXT(E6),""))),ISNUMBER(SEARCH("ABS(",IFERROR(_xlfn.FORMULATEXT(E6),""))))),"✗ нужна функция ABS",IF(NOT(AND(IFERROR(ABS(E6-(ABS(B3-SUM(C6:C11))))&lt;=0.01*MAX(1,ABS(ABS(B3-SUM(C6:C11)))),FALSE))),"✗ ответ неверный — проверь формулу","✓ верно"))))</f>
        <v/>
      </c>
    </row>
    <row r="8">
      <c r="A8" s="6" t="inlineStr">
        <is>
          <t>Обои</t>
        </is>
      </c>
      <c r="B8" s="6" t="inlineStr">
        <is>
          <t>обои</t>
        </is>
      </c>
      <c r="C8" s="6" t="n">
        <v>35000</v>
      </c>
      <c r="D8" s="6" t="n"/>
      <c r="E8" s="6" t="n"/>
      <c r="F8" s="6" t="n"/>
      <c r="G8" s="6" t="n"/>
      <c r="H8" s="6" t="n"/>
      <c r="J8" s="8" t="n">
        <v>7</v>
      </c>
      <c r="K8" s="8" t="inlineStr">
        <is>
          <t>сложное: всё, кроме краски</t>
        </is>
      </c>
      <c r="L8" s="8" t="inlineStr">
        <is>
          <t>Сколько стоят обои, клей и инструменты — всё, кроме краски? Одна формула из двух функций.</t>
        </is>
      </c>
      <c r="M8" s="8" t="inlineStr">
        <is>
          <t>E7</t>
        </is>
      </c>
      <c r="N8" s="9">
        <f>IF(ISBLANK(E7),"—",IF( OR(NOT(_xlfn.ISFORMULA(E7))),"✗ нужна формула, а не число",IF(NOT(OR(ISNUMBER(SEARCH("СУММ(",IFERROR(_xlfn.FORMULATEXT(E7),""))),ISNUMBER(SEARCH("SUM(",IFERROR(_xlfn.FORMULATEXT(E7),""))))),"✗ нужна функция СУММ",IF(NOT(OR(ISNUMBER(SEARCH("СУММЕСЛИ(",IFERROR(_xlfn.FORMULATEXT(E7),""))),ISNUMBER(SEARCH("SUMIF(",IFERROR(_xlfn.FORMULATEXT(E7),""))))),"✗ нужна функция СУММЕСЛИ",IF(NOT(AND(IFERROR(ABS(E7-(SUM(C6:C11)-SUMIF(B6:B11,"краска",C6:C11)))&lt;=0.01*MAX(1,ABS(SUM(C6:C11)-SUMIF(B6:B11,"краска",C6:C11))),FALSE))),"✗ ответ неверный — проверь формулу","✓ верно")))))</f>
        <v/>
      </c>
    </row>
    <row r="9">
      <c r="A9" s="6" t="inlineStr">
        <is>
          <t>Клей</t>
        </is>
      </c>
      <c r="B9" s="6" t="inlineStr">
        <is>
          <t>обои</t>
        </is>
      </c>
      <c r="C9" s="6" t="n">
        <v>4500</v>
      </c>
      <c r="D9" s="6" t="n"/>
      <c r="E9" s="6" t="n"/>
      <c r="F9" s="6" t="n"/>
      <c r="G9" s="6" t="n"/>
      <c r="H9" s="6" t="n"/>
      <c r="J9" s="8" t="n">
        <v>8</v>
      </c>
      <c r="K9" s="8" t="inlineStr">
        <is>
          <t>сложное: подумай</t>
        </is>
      </c>
      <c r="L9" s="8" t="inlineStr">
        <is>
          <t>Бюджет урезали до 60 000 тг — измени B3. Что теперь в E6? Почему здесь ABS может обмануть?</t>
        </is>
      </c>
      <c r="M9" s="8" t="inlineStr">
        <is>
          <t>E6</t>
        </is>
      </c>
      <c r="N9" s="9">
        <f>IF(ISBLANK(E6),"—",IF(NOT(B3=60000),"✗ сначала измени B3 на 60000",IF( OR(NOT(_xlfn.ISFORMULA(E6))),"✗ нужна формула, а не число",IF(NOT(OR(ISNUMBER(SEARCH("ABS(",IFERROR(_xlfn.FORMULATEXT(E6),""))),ISNUMBER(SEARCH("ABS(",IFERROR(_xlfn.FORMULATEXT(E6),""))))),"✗ нужна функция ABS",IF(NOT(AND(IFERROR(ABS(E6-(ABS(B3-SUM(C6:C11))))&lt;=0.01*MAX(1,ABS(ABS(B3-SUM(C6:C11)))),FALSE))),"✗ ответ неверный — проверь формулу","✓ верно")))))</f>
        <v/>
      </c>
    </row>
    <row r="10">
      <c r="A10" s="6" t="inlineStr">
        <is>
          <t>Валик</t>
        </is>
      </c>
      <c r="B10" s="6" t="inlineStr">
        <is>
          <t>инструмент</t>
        </is>
      </c>
      <c r="C10" s="6" t="n">
        <v>3000</v>
      </c>
      <c r="D10" s="6" t="n"/>
      <c r="E10" s="6" t="n"/>
      <c r="F10" s="6" t="n"/>
      <c r="G10" s="6" t="n"/>
      <c r="H10" s="6" t="n"/>
    </row>
    <row r="11">
      <c r="A11" s="6" t="inlineStr">
        <is>
          <t>Кисти</t>
        </is>
      </c>
      <c r="B11" s="6" t="inlineStr">
        <is>
          <t>инструмент</t>
        </is>
      </c>
      <c r="C11" s="6" t="n">
        <v>2500</v>
      </c>
      <c r="D11" s="6" t="n"/>
      <c r="E11" s="6" t="n"/>
      <c r="F11" s="6" t="n"/>
      <c r="G11" s="6" t="n"/>
      <c r="H11" s="6" t="n"/>
      <c r="L11" s="10" t="inlineStr">
        <is>
          <t>Выполнено шагов:</t>
        </is>
      </c>
      <c r="N11" s="11">
        <f>COUNTIF(N2:N9,"✓*")&amp;" из 8"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N2:N9">
    <cfRule type="expression" priority="1" dxfId="0">
      <formula>LEFT(N2,1)="✓"</formula>
    </cfRule>
    <cfRule type="expression" priority="2" dxfId="1">
      <formula>LEFT(N2,1)="✗"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2" max="2"/>
    <col width="16" customWidth="1" min="3" max="3"/>
  </cols>
  <sheetData>
    <row r="1">
      <c r="A1" s="1" t="inlineStr">
        <is>
          <t>Итог самопроверки</t>
        </is>
      </c>
    </row>
    <row r="2">
      <c r="A2">
        <f>"Ученик: "&amp;Начало!B4&amp;", "&amp;Начало!B3</f>
        <v/>
      </c>
    </row>
    <row r="4">
      <c r="A4" s="7" t="inlineStr">
        <is>
          <t>Сценарий</t>
        </is>
      </c>
      <c r="B4" s="7" t="inlineStr">
        <is>
          <t>Название</t>
        </is>
      </c>
      <c r="C4" s="7" t="inlineStr">
        <is>
          <t>Функция</t>
        </is>
      </c>
      <c r="D4" s="7" t="inlineStr">
        <is>
          <t>Верно</t>
        </is>
      </c>
      <c r="E4" s="7" t="inlineStr">
        <is>
          <t>Всего</t>
        </is>
      </c>
    </row>
    <row r="5">
      <c r="A5" t="inlineStr">
        <is>
          <t>S1</t>
        </is>
      </c>
      <c r="B5" t="inlineStr">
        <is>
          <t>Канцтовары в двух магазинах</t>
        </is>
      </c>
      <c r="C5" t="inlineStr">
        <is>
          <t>СУММ</t>
        </is>
      </c>
      <c r="D5">
        <f>COUNTIF(S1!N2:N9,"✓*")</f>
        <v/>
      </c>
      <c r="E5" t="n">
        <v>8</v>
      </c>
    </row>
    <row r="6">
      <c r="A6" t="inlineStr">
        <is>
          <t>S2</t>
        </is>
      </c>
      <c r="B6" t="inlineStr">
        <is>
          <t>Дневник погоды</t>
        </is>
      </c>
      <c r="C6" t="inlineStr">
        <is>
          <t>ABS</t>
        </is>
      </c>
      <c r="D6">
        <f>COUNTIF(S2!N2:N9,"✓*")</f>
        <v/>
      </c>
      <c r="E6" t="n">
        <v>8</v>
      </c>
    </row>
    <row r="7">
      <c r="A7" t="inlineStr">
        <is>
          <t>S3</t>
        </is>
      </c>
      <c r="B7" t="inlineStr">
        <is>
          <t>Квадратные участки</t>
        </is>
      </c>
      <c r="C7" t="inlineStr">
        <is>
          <t>КОРЕНЬ</t>
        </is>
      </c>
      <c r="D7">
        <f>COUNTIF(S3!N2:N9,"✓*")</f>
        <v/>
      </c>
      <c r="E7" t="n">
        <v>8</v>
      </c>
    </row>
    <row r="8">
      <c r="A8" t="inlineStr">
        <is>
          <t>S4</t>
        </is>
      </c>
      <c r="B8" t="inlineStr">
        <is>
          <t>Таблица степеней</t>
        </is>
      </c>
      <c r="C8" t="inlineStr">
        <is>
          <t>СТЕПЕНЬ</t>
        </is>
      </c>
      <c r="D8">
        <f>COUNTIF(S4!N2:N9,"✓*")</f>
        <v/>
      </c>
      <c r="E8" t="n">
        <v>8</v>
      </c>
    </row>
    <row r="9">
      <c r="A9" t="inlineStr">
        <is>
          <t>S5</t>
        </is>
      </c>
      <c r="B9" t="inlineStr">
        <is>
          <t>Карманные деньги за неделю</t>
        </is>
      </c>
      <c r="C9" t="inlineStr">
        <is>
          <t>СУММЕСЛИ</t>
        </is>
      </c>
      <c r="D9">
        <f>COUNTIF(S5!N2:N9,"✓*")</f>
        <v/>
      </c>
      <c r="E9" t="n">
        <v>8</v>
      </c>
    </row>
    <row r="10">
      <c r="A10" t="inlineStr">
        <is>
          <t>S6</t>
        </is>
      </c>
      <c r="B10" t="inlineStr">
        <is>
          <t>Ремонт квадратной комнаты</t>
        </is>
      </c>
      <c r="C10" t="inlineStr">
        <is>
          <t>все функции</t>
        </is>
      </c>
      <c r="D10">
        <f>COUNTIF(S6!N2:N9,"✓*")</f>
        <v/>
      </c>
      <c r="E10" t="n">
        <v>8</v>
      </c>
    </row>
    <row r="11">
      <c r="B11" s="10" t="inlineStr">
        <is>
          <t>Всего</t>
        </is>
      </c>
      <c r="D11" s="10">
        <f>SUM(D5:D10)</f>
        <v/>
      </c>
      <c r="E11" s="10">
        <f>SUM(E5:E10)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2026-10-24T05:59:25Z</dcterms:created>
  <dcterms:modified xmlns:dcterms="http://purl.org/dc/terms/" xmlns:xsi="http://www.w3.org/2001/XMLSchema-instance" xsi:type="dcterms:W3CDTF">2026-10-24T05:59:25Z</dcterms:modified>
</cp:coreProperties>
</file>