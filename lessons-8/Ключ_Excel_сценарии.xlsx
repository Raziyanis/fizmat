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S1" sheetId="2" state="visible" r:id="rId4"/>
    <sheet name="S2" sheetId="3" state="visible" r:id="rId5"/>
    <sheet name="S3" sheetId="4" state="visible" r:id="rId6"/>
    <sheet name="S4" sheetId="5" state="visible" r:id="rId7"/>
    <sheet name="S5" sheetId="6" state="visible" r:id="rId8"/>
    <sheet name="S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<sst xmlns="http://schemas.openxmlformats.org/spreadsheetml/2006/main" count="248" uniqueCount="182">
  <si>
    <t xml:space="preserve">Ключ к этапу «Работа в Excel» (урок «Математические функции», 8 класс).</t>
  </si>
  <si>
    <t xml:space="preserve">На листах S1–S6 — таблица сценария, как её набирают ученики, и все формулы уже вписаны (жёлтые ячейки).</t>
  </si>
  <si>
    <t xml:space="preserve">Справа на каждом листе — шаги: ячейка, формула в русском Excel и правильный ответ.</t>
  </si>
  <si>
    <t xml:space="preserve">Шаги с пометкой «измени …» ученик выполняет, меняя данные; в файле данные исходные, ответ в таблице шагов — после изменения.</t>
  </si>
  <si>
    <t xml:space="preserve">Формулы в файле записаны так, что русский Excel покажет их по-русски: СУММ, ABS, КОРЕНЬ, СТЕПЕНЬ, СУММЕСЛИ.</t>
  </si>
  <si>
    <t xml:space="preserve">Товар</t>
  </si>
  <si>
    <t xml:space="preserve">Магазин 1</t>
  </si>
  <si>
    <t xml:space="preserve">Магазин 2</t>
  </si>
  <si>
    <t xml:space="preserve">Шаг</t>
  </si>
  <si>
    <t xml:space="preserve">Тип шага</t>
  </si>
  <si>
    <t xml:space="preserve">Ячейка</t>
  </si>
  <si>
    <t xml:space="preserve">Формула (русский Excel)</t>
  </si>
  <si>
    <t xml:space="preserve">Ответ</t>
  </si>
  <si>
    <t xml:space="preserve">Тетрадь</t>
  </si>
  <si>
    <t xml:space="preserve">диапазон</t>
  </si>
  <si>
    <t xml:space="preserve">B8</t>
  </si>
  <si>
    <t xml:space="preserve">=СУММ(B2:B7)</t>
  </si>
  <si>
    <t xml:space="preserve">Ручка</t>
  </si>
  <si>
    <t xml:space="preserve">кнопка Σ</t>
  </si>
  <si>
    <t xml:space="preserve">C8</t>
  </si>
  <si>
    <t xml:space="preserve">=СУММ(C2:C7)</t>
  </si>
  <si>
    <t xml:space="preserve">Карандаш</t>
  </si>
  <si>
    <t xml:space="preserve">отдельные ячейки</t>
  </si>
  <si>
    <t xml:space="preserve">E2</t>
  </si>
  <si>
    <t xml:space="preserve">=СУММ(B2;B3;B6)</t>
  </si>
  <si>
    <t xml:space="preserve">Линейка</t>
  </si>
  <si>
    <t xml:space="preserve">ячейки + число</t>
  </si>
  <si>
    <t xml:space="preserve">E3</t>
  </si>
  <si>
    <t xml:space="preserve">=СУММ(B2;B3;500)</t>
  </si>
  <si>
    <t xml:space="preserve">Ластик</t>
  </si>
  <si>
    <t xml:space="preserve">диапазон + ячейка</t>
  </si>
  <si>
    <t xml:space="preserve">E4</t>
  </si>
  <si>
    <t xml:space="preserve">=СУММ(B2:B4;B7)</t>
  </si>
  <si>
    <t xml:space="preserve">Пенал</t>
  </si>
  <si>
    <t xml:space="preserve">два диапазона</t>
  </si>
  <si>
    <t xml:space="preserve">E5</t>
  </si>
  <si>
    <t xml:space="preserve">=СУММ(B2:B7;C2:C7)</t>
  </si>
  <si>
    <t xml:space="preserve">Итого</t>
  </si>
  <si>
    <t xml:space="preserve">прямоугольник</t>
  </si>
  <si>
    <t xml:space="preserve">E6</t>
  </si>
  <si>
    <t xml:space="preserve">=СУММ(B2:C7)</t>
  </si>
  <si>
    <t xml:space="preserve">сложное: автопересчёт</t>
  </si>
  <si>
    <t xml:space="preserve">измени B7 → 1200</t>
  </si>
  <si>
    <t xml:space="preserve">День</t>
  </si>
  <si>
    <t xml:space="preserve">Утро</t>
  </si>
  <si>
    <t xml:space="preserve">Вечер</t>
  </si>
  <si>
    <t xml:space="preserve">Изменение</t>
  </si>
  <si>
    <t xml:space="preserve">Без ABS</t>
  </si>
  <si>
    <t xml:space="preserve">Пн</t>
  </si>
  <si>
    <t xml:space="preserve">модуль числа</t>
  </si>
  <si>
    <t xml:space="preserve">G2</t>
  </si>
  <si>
    <t xml:space="preserve">=ABS(-12)</t>
  </si>
  <si>
    <t xml:space="preserve">Вт</t>
  </si>
  <si>
    <t xml:space="preserve">модуль ячейки</t>
  </si>
  <si>
    <t xml:space="preserve">G3</t>
  </si>
  <si>
    <t xml:space="preserve">=ABS(B2)</t>
  </si>
  <si>
    <t xml:space="preserve">Ср</t>
  </si>
  <si>
    <t xml:space="preserve">разность без ABS</t>
  </si>
  <si>
    <t xml:space="preserve">=C2-B2 и протянуть вниз</t>
  </si>
  <si>
    <t xml:space="preserve">Чт</t>
  </si>
  <si>
    <t xml:space="preserve">ABS разности</t>
  </si>
  <si>
    <t xml:space="preserve">D3</t>
  </si>
  <si>
    <t xml:space="preserve">=ABS(C2-B2) и протянуть вниз</t>
  </si>
  <si>
    <t xml:space="preserve">Пт</t>
  </si>
  <si>
    <t xml:space="preserve">проверка протягивания</t>
  </si>
  <si>
    <t xml:space="preserve">D4</t>
  </si>
  <si>
    <t xml:space="preserve">Сб</t>
  </si>
  <si>
    <t xml:space="preserve">сложное: СУММ + ABS</t>
  </si>
  <si>
    <t xml:space="preserve">G4</t>
  </si>
  <si>
    <t xml:space="preserve">=СУММ(D2:D8)</t>
  </si>
  <si>
    <t xml:space="preserve">Вс</t>
  </si>
  <si>
    <t xml:space="preserve">сложное: сравнение</t>
  </si>
  <si>
    <t xml:space="preserve">G5</t>
  </si>
  <si>
    <t xml:space="preserve">=СУММ(E2:E8)</t>
  </si>
  <si>
    <t xml:space="preserve">сложное: одна формула</t>
  </si>
  <si>
    <t xml:space="preserve">G6</t>
  </si>
  <si>
    <t xml:space="preserve">=ABS(B8-B2)</t>
  </si>
  <si>
    <t xml:space="preserve">Участок</t>
  </si>
  <si>
    <t xml:space="preserve">Площадь, м²</t>
  </si>
  <si>
    <t xml:space="preserve">Сторона, м</t>
  </si>
  <si>
    <t xml:space="preserve">Забор, м</t>
  </si>
  <si>
    <t xml:space="preserve">Сад</t>
  </si>
  <si>
    <t xml:space="preserve">корень ячейки</t>
  </si>
  <si>
    <t xml:space="preserve">C2</t>
  </si>
  <si>
    <t xml:space="preserve">=КОРЕНЬ(B2) и протянуть вниз</t>
  </si>
  <si>
    <t xml:space="preserve">Огород</t>
  </si>
  <si>
    <t xml:space="preserve">протягивание</t>
  </si>
  <si>
    <t xml:space="preserve">C5</t>
  </si>
  <si>
    <t xml:space="preserve">Клумба</t>
  </si>
  <si>
    <t xml:space="preserve">дробный ответ</t>
  </si>
  <si>
    <t xml:space="preserve">C4</t>
  </si>
  <si>
    <t xml:space="preserve">Двор</t>
  </si>
  <si>
    <t xml:space="preserve">корень числа</t>
  </si>
  <si>
    <t xml:space="preserve">F2</t>
  </si>
  <si>
    <t xml:space="preserve">=КОРЕНЬ(144)</t>
  </si>
  <si>
    <t xml:space="preserve">Теплица</t>
  </si>
  <si>
    <t xml:space="preserve">корень × число</t>
  </si>
  <si>
    <t xml:space="preserve">D2</t>
  </si>
  <si>
    <t xml:space="preserve">=КОРЕНЬ(B2)*4</t>
  </si>
  <si>
    <t xml:space="preserve">ошибка</t>
  </si>
  <si>
    <t xml:space="preserve">F3</t>
  </si>
  <si>
    <t xml:space="preserve">=КОРЕНЬ(-25)</t>
  </si>
  <si>
    <t xml:space="preserve">#ЧИСЛО!</t>
  </si>
  <si>
    <t xml:space="preserve">исправление ошибки</t>
  </si>
  <si>
    <t xml:space="preserve">F4</t>
  </si>
  <si>
    <t xml:space="preserve">=КОРЕНЬ(ABS(-25))</t>
  </si>
  <si>
    <t xml:space="preserve">сложное: Пифагор</t>
  </si>
  <si>
    <t xml:space="preserve">F5</t>
  </si>
  <si>
    <t xml:space="preserve">=КОРЕНЬ(C2*C2+C2*C2)</t>
  </si>
  <si>
    <t xml:space="preserve">Число</t>
  </si>
  <si>
    <t xml:space="preserve">Степень</t>
  </si>
  <si>
    <t xml:space="preserve">СТЕПЕНЬ</t>
  </si>
  <si>
    <t xml:space="preserve">Знак ^</t>
  </si>
  <si>
    <t xml:space="preserve">две ячейки</t>
  </si>
  <si>
    <t xml:space="preserve">=СТЕПЕНЬ(A2;B2) и протянуть вниз</t>
  </si>
  <si>
    <t xml:space="preserve">отрицательная степень</t>
  </si>
  <si>
    <t xml:space="preserve">C6</t>
  </si>
  <si>
    <t xml:space="preserve">знак ^</t>
  </si>
  <si>
    <t xml:space="preserve">=A2^B2 и протянуть вниз</t>
  </si>
  <si>
    <t xml:space="preserve">ячейка + число</t>
  </si>
  <si>
    <t xml:space="preserve">=СТЕПЕНЬ(A2;10)</t>
  </si>
  <si>
    <t xml:space="preserve">объём куба</t>
  </si>
  <si>
    <t xml:space="preserve">=СТЕПЕНЬ(7;3)</t>
  </si>
  <si>
    <t xml:space="preserve">сложное: корень через степень</t>
  </si>
  <si>
    <t xml:space="preserve">=СТЕПЕНЬ(81;0,5)</t>
  </si>
  <si>
    <t xml:space="preserve">сложное: вклад</t>
  </si>
  <si>
    <t xml:space="preserve">=100000*СТЕПЕНЬ(1,1;3)</t>
  </si>
  <si>
    <t xml:space="preserve">Категория</t>
  </si>
  <si>
    <t xml:space="preserve">Сумма, тг</t>
  </si>
  <si>
    <t xml:space="preserve">доход</t>
  </si>
  <si>
    <t xml:space="preserve">условие &gt;0</t>
  </si>
  <si>
    <t xml:space="preserve">=СУММЕСЛИ(C2:C9;"&gt;0")</t>
  </si>
  <si>
    <t xml:space="preserve">еда</t>
  </si>
  <si>
    <t xml:space="preserve">условие &lt;0</t>
  </si>
  <si>
    <t xml:space="preserve">=СУММЕСЛИ(C2:C9;"&lt;0")</t>
  </si>
  <si>
    <t xml:space="preserve">транспорт</t>
  </si>
  <si>
    <t xml:space="preserve">текст + диапазон суммирования</t>
  </si>
  <si>
    <t xml:space="preserve">=СУММЕСЛИ(B2:B9;"еда";C2:C9)</t>
  </si>
  <si>
    <t xml:space="preserve">условие из ячейки</t>
  </si>
  <si>
    <t xml:space="preserve">=СУММЕСЛИ(B2:B9;E5;C2:C9)</t>
  </si>
  <si>
    <t xml:space="preserve">игры</t>
  </si>
  <si>
    <t xml:space="preserve">условие с числом</t>
  </si>
  <si>
    <t xml:space="preserve">F6</t>
  </si>
  <si>
    <t xml:space="preserve">=СУММЕСЛИ(C2:C9;"&lt;-500")</t>
  </si>
  <si>
    <t xml:space="preserve">сложное: без минуса</t>
  </si>
  <si>
    <t xml:space="preserve">F7</t>
  </si>
  <si>
    <t xml:space="preserve">=ABS(СУММЕСЛИ(C2:C9;"&lt;0"))</t>
  </si>
  <si>
    <t xml:space="preserve">сложное: остаток</t>
  </si>
  <si>
    <t xml:space="preserve">F8</t>
  </si>
  <si>
    <t xml:space="preserve">=СУММ(C2:C9)</t>
  </si>
  <si>
    <t xml:space="preserve">сложное: смена условия</t>
  </si>
  <si>
    <t xml:space="preserve">измени E5 → игры</t>
  </si>
  <si>
    <t xml:space="preserve">Площадь пола, м²</t>
  </si>
  <si>
    <t xml:space="preserve">Высота стен, м</t>
  </si>
  <si>
    <t xml:space="preserve">КОРЕНЬ</t>
  </si>
  <si>
    <t xml:space="preserve">E1</t>
  </si>
  <si>
    <t xml:space="preserve">=КОРЕНЬ(B1)</t>
  </si>
  <si>
    <t xml:space="preserve">Бюджет, тг</t>
  </si>
  <si>
    <t xml:space="preserve">=СТЕПЕНЬ(E1;2)</t>
  </si>
  <si>
    <t xml:space="preserve">формула с ячейками</t>
  </si>
  <si>
    <t xml:space="preserve">=4*E1*B2</t>
  </si>
  <si>
    <t xml:space="preserve">Цена, тг</t>
  </si>
  <si>
    <t xml:space="preserve">СУММ</t>
  </si>
  <si>
    <t xml:space="preserve">=СУММ(C6:C11)</t>
  </si>
  <si>
    <t xml:space="preserve">Краска белая</t>
  </si>
  <si>
    <t xml:space="preserve">краска</t>
  </si>
  <si>
    <t xml:space="preserve">СУММЕСЛИ</t>
  </si>
  <si>
    <t xml:space="preserve">=СУММЕСЛИ(B6:B11;"краска";C6:C11)</t>
  </si>
  <si>
    <t xml:space="preserve">Краска синяя</t>
  </si>
  <si>
    <t xml:space="preserve">ABS</t>
  </si>
  <si>
    <t xml:space="preserve">=ABS(B3-E4)</t>
  </si>
  <si>
    <t xml:space="preserve">Обои</t>
  </si>
  <si>
    <t xml:space="preserve">обои</t>
  </si>
  <si>
    <t xml:space="preserve">сложное: всё, кроме краски</t>
  </si>
  <si>
    <t xml:space="preserve">E7</t>
  </si>
  <si>
    <t xml:space="preserve">=СУММ(C6:C11)-СУММЕСЛИ(B6:B11;"краска";C6:C11)</t>
  </si>
  <si>
    <t xml:space="preserve">Клей</t>
  </si>
  <si>
    <t xml:space="preserve">сложное: подумай</t>
  </si>
  <si>
    <t xml:space="preserve">измени B3 → 60000</t>
  </si>
  <si>
    <t xml:space="preserve">Валик</t>
  </si>
  <si>
    <t xml:space="preserve">инструмент</t>
  </si>
  <si>
    <t xml:space="preserve">Кисти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</si>
</sst>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7652"/>
        <bgColor rgb="FF008080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652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9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s">
        <v>13</v>
      </c>
      <c r="B2" s="0" t="n">
        <v>150</v>
      </c>
      <c r="C2" s="0" t="n">
        <v>140</v>
      </c>
      <c r="E2" s="3" t="n">
        <f aca="false">SUM(B2,B3,B6)</f>
        <v>330</v>
      </c>
      <c r="J2" s="4" t="n">
        <v>1</v>
      </c>
      <c r="K2" s="4" t="s">
        <v>14</v>
      </c>
      <c r="L2" s="4" t="s">
        <v>15</v>
      </c>
      <c r="M2" s="4" t="s">
        <v>16</v>
      </c>
      <c r="N2" s="4" t="n">
        <v>2110</v>
      </c>
    </row>
    <row r="3" customFormat="false" ht="15" hidden="false" customHeight="false" outlineLevel="0" collapsed="false">
      <c r="A3" s="0" t="s">
        <v>17</v>
      </c>
      <c r="B3" s="0" t="n">
        <v>120</v>
      </c>
      <c r="C3" s="0" t="n">
        <v>130</v>
      </c>
      <c r="E3" s="3" t="n">
        <f aca="false">SUM(B2,B3,500)</f>
        <v>770</v>
      </c>
      <c r="J3" s="4" t="n">
        <v>2</v>
      </c>
      <c r="K3" s="4" t="s">
        <v>18</v>
      </c>
      <c r="L3" s="4" t="s">
        <v>19</v>
      </c>
      <c r="M3" s="4" t="s">
        <v>20</v>
      </c>
      <c r="N3" s="4" t="n">
        <v>2010</v>
      </c>
    </row>
    <row r="4" customFormat="false" ht="15" hidden="false" customHeight="false" outlineLevel="0" collapsed="false">
      <c r="A4" s="0" t="s">
        <v>21</v>
      </c>
      <c r="B4" s="0" t="n">
        <v>80</v>
      </c>
      <c r="C4" s="0" t="n">
        <v>70</v>
      </c>
      <c r="E4" s="3" t="n">
        <f aca="false">SUM(B2:B4,B7)</f>
        <v>1850</v>
      </c>
      <c r="J4" s="4" t="n">
        <v>3</v>
      </c>
      <c r="K4" s="4" t="s">
        <v>22</v>
      </c>
      <c r="L4" s="4" t="s">
        <v>23</v>
      </c>
      <c r="M4" s="4" t="s">
        <v>24</v>
      </c>
      <c r="N4" s="4" t="n">
        <v>330</v>
      </c>
    </row>
    <row r="5" customFormat="false" ht="15" hidden="false" customHeight="false" outlineLevel="0" collapsed="false">
      <c r="A5" s="0" t="s">
        <v>25</v>
      </c>
      <c r="B5" s="0" t="n">
        <v>200</v>
      </c>
      <c r="C5" s="0" t="n">
        <v>220</v>
      </c>
      <c r="E5" s="3" t="n">
        <f aca="false">SUM(B2:B7,C2:C7)</f>
        <v>4120</v>
      </c>
      <c r="J5" s="4" t="n">
        <v>4</v>
      </c>
      <c r="K5" s="4" t="s">
        <v>26</v>
      </c>
      <c r="L5" s="4" t="s">
        <v>27</v>
      </c>
      <c r="M5" s="4" t="s">
        <v>28</v>
      </c>
      <c r="N5" s="4" t="n">
        <v>770</v>
      </c>
    </row>
    <row r="6" customFormat="false" ht="15" hidden="false" customHeight="false" outlineLevel="0" collapsed="false">
      <c r="A6" s="0" t="s">
        <v>29</v>
      </c>
      <c r="B6" s="0" t="n">
        <v>60</v>
      </c>
      <c r="C6" s="0" t="n">
        <v>50</v>
      </c>
      <c r="E6" s="3" t="n">
        <f aca="false">SUM(B2:C7)</f>
        <v>4120</v>
      </c>
      <c r="J6" s="4" t="n">
        <v>5</v>
      </c>
      <c r="K6" s="4" t="s">
        <v>30</v>
      </c>
      <c r="L6" s="4" t="s">
        <v>31</v>
      </c>
      <c r="M6" s="4" t="s">
        <v>32</v>
      </c>
      <c r="N6" s="4" t="n">
        <v>1850</v>
      </c>
    </row>
    <row r="7" customFormat="false" ht="15" hidden="false" customHeight="false" outlineLevel="0" collapsed="false">
      <c r="A7" s="0" t="s">
        <v>33</v>
      </c>
      <c r="B7" s="0" t="n">
        <v>1500</v>
      </c>
      <c r="C7" s="0" t="n">
        <v>1400</v>
      </c>
      <c r="J7" s="4" t="n">
        <v>6</v>
      </c>
      <c r="K7" s="4" t="s">
        <v>34</v>
      </c>
      <c r="L7" s="4" t="s">
        <v>35</v>
      </c>
      <c r="M7" s="4" t="s">
        <v>36</v>
      </c>
      <c r="N7" s="4" t="n">
        <v>4120</v>
      </c>
    </row>
    <row r="8" customFormat="false" ht="15" hidden="false" customHeight="false" outlineLevel="0" collapsed="false">
      <c r="A8" s="0" t="s">
        <v>37</v>
      </c>
      <c r="B8" s="3" t="n">
        <f aca="false">SUM(B2:B7)</f>
        <v>2110</v>
      </c>
      <c r="C8" s="3" t="n">
        <f aca="false">SUM(C2:C7)</f>
        <v>2010</v>
      </c>
      <c r="J8" s="4" t="n">
        <v>7</v>
      </c>
      <c r="K8" s="4" t="s">
        <v>38</v>
      </c>
      <c r="L8" s="4" t="s">
        <v>39</v>
      </c>
      <c r="M8" s="4" t="s">
        <v>40</v>
      </c>
      <c r="N8" s="4" t="n">
        <v>4120</v>
      </c>
    </row>
    <row r="9" customFormat="false" ht="15" hidden="false" customHeight="false" outlineLevel="0" collapsed="false">
      <c r="J9" s="4" t="n">
        <v>8</v>
      </c>
      <c r="K9" s="4" t="s">
        <v>41</v>
      </c>
      <c r="L9" s="4" t="s">
        <v>15</v>
      </c>
      <c r="M9" s="4" t="s">
        <v>42</v>
      </c>
      <c r="N9" s="4" t="n">
        <v>1810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s">
        <v>48</v>
      </c>
      <c r="B2" s="0" t="n">
        <v>-3</v>
      </c>
      <c r="C2" s="0" t="n">
        <v>4</v>
      </c>
      <c r="D2" s="3" t="n">
        <f aca="false">ABS(C2-B2)</f>
        <v>7</v>
      </c>
      <c r="E2" s="3" t="n">
        <f aca="false">C2-B2</f>
        <v>7</v>
      </c>
      <c r="G2" s="3" t="n">
        <f aca="false">ABS(-12)</f>
        <v>12</v>
      </c>
      <c r="J2" s="4" t="n">
        <v>1</v>
      </c>
      <c r="K2" s="4" t="s">
        <v>49</v>
      </c>
      <c r="L2" s="4" t="s">
        <v>50</v>
      </c>
      <c r="M2" s="4" t="s">
        <v>51</v>
      </c>
      <c r="N2" s="4" t="n">
        <v>12</v>
      </c>
    </row>
    <row r="3" customFormat="false" ht="15" hidden="false" customHeight="false" outlineLevel="0" collapsed="false">
      <c r="A3" s="0" t="s">
        <v>52</v>
      </c>
      <c r="B3" s="0" t="n">
        <v>2</v>
      </c>
      <c r="C3" s="0" t="n">
        <v>-2</v>
      </c>
      <c r="D3" s="3" t="n">
        <f aca="false">ABS(C3-B3)</f>
        <v>4</v>
      </c>
      <c r="E3" s="3" t="n">
        <f aca="false">C3-B3</f>
        <v>-4</v>
      </c>
      <c r="G3" s="3" t="n">
        <f aca="false">ABS(B2)</f>
        <v>3</v>
      </c>
      <c r="J3" s="4" t="n">
        <v>2</v>
      </c>
      <c r="K3" s="4" t="s">
        <v>53</v>
      </c>
      <c r="L3" s="4" t="s">
        <v>54</v>
      </c>
      <c r="M3" s="4" t="s">
        <v>55</v>
      </c>
      <c r="N3" s="4" t="n">
        <v>3</v>
      </c>
    </row>
    <row r="4" customFormat="false" ht="15" hidden="false" customHeight="false" outlineLevel="0" collapsed="false">
      <c r="A4" s="0" t="s">
        <v>56</v>
      </c>
      <c r="B4" s="0" t="n">
        <v>-6</v>
      </c>
      <c r="C4" s="0" t="n">
        <v>-1</v>
      </c>
      <c r="D4" s="3" t="n">
        <f aca="false">ABS(C4-B4)</f>
        <v>5</v>
      </c>
      <c r="E4" s="3" t="n">
        <f aca="false">C4-B4</f>
        <v>5</v>
      </c>
      <c r="G4" s="3" t="n">
        <f aca="false">SUM(D2:D8)</f>
        <v>31</v>
      </c>
      <c r="J4" s="4" t="n">
        <v>3</v>
      </c>
      <c r="K4" s="4" t="s">
        <v>57</v>
      </c>
      <c r="L4" s="4" t="s">
        <v>27</v>
      </c>
      <c r="M4" s="4" t="s">
        <v>58</v>
      </c>
      <c r="N4" s="4" t="n">
        <v>-4</v>
      </c>
    </row>
    <row r="5" customFormat="false" ht="15" hidden="false" customHeight="false" outlineLevel="0" collapsed="false">
      <c r="A5" s="0" t="s">
        <v>59</v>
      </c>
      <c r="B5" s="0" t="n">
        <v>0</v>
      </c>
      <c r="C5" s="0" t="n">
        <v>3</v>
      </c>
      <c r="D5" s="3" t="n">
        <f aca="false">ABS(C5-B5)</f>
        <v>3</v>
      </c>
      <c r="E5" s="3" t="n">
        <f aca="false">C5-B5</f>
        <v>3</v>
      </c>
      <c r="G5" s="3" t="n">
        <f aca="false">SUM(E2:E8)</f>
        <v>15</v>
      </c>
      <c r="J5" s="4" t="n">
        <v>4</v>
      </c>
      <c r="K5" s="4" t="s">
        <v>60</v>
      </c>
      <c r="L5" s="4" t="s">
        <v>61</v>
      </c>
      <c r="M5" s="4" t="s">
        <v>62</v>
      </c>
      <c r="N5" s="4" t="n">
        <v>4</v>
      </c>
    </row>
    <row r="6" customFormat="false" ht="15" hidden="false" customHeight="false" outlineLevel="0" collapsed="false">
      <c r="A6" s="0" t="s">
        <v>63</v>
      </c>
      <c r="B6" s="0" t="n">
        <v>4</v>
      </c>
      <c r="C6" s="0" t="n">
        <v>8</v>
      </c>
      <c r="D6" s="3" t="n">
        <f aca="false">ABS(C6-B6)</f>
        <v>4</v>
      </c>
      <c r="E6" s="3" t="n">
        <f aca="false">C6-B6</f>
        <v>4</v>
      </c>
      <c r="G6" s="3" t="n">
        <f aca="false">ABS(B8-B2)</f>
        <v>8</v>
      </c>
      <c r="J6" s="4" t="n">
        <v>5</v>
      </c>
      <c r="K6" s="4" t="s">
        <v>64</v>
      </c>
      <c r="L6" s="4" t="s">
        <v>65</v>
      </c>
      <c r="M6" s="4"/>
      <c r="N6" s="4" t="n">
        <v>5</v>
      </c>
    </row>
    <row r="7" customFormat="false" ht="15" hidden="false" customHeight="false" outlineLevel="0" collapsed="false">
      <c r="A7" s="0" t="s">
        <v>66</v>
      </c>
      <c r="B7" s="0" t="n">
        <v>-1</v>
      </c>
      <c r="C7" s="0" t="n">
        <v>-5</v>
      </c>
      <c r="D7" s="3" t="n">
        <f aca="false">ABS(C7-B7)</f>
        <v>4</v>
      </c>
      <c r="E7" s="3" t="n">
        <f aca="false">C7-B7</f>
        <v>-4</v>
      </c>
      <c r="J7" s="4" t="n">
        <v>6</v>
      </c>
      <c r="K7" s="4" t="s">
        <v>67</v>
      </c>
      <c r="L7" s="4" t="s">
        <v>68</v>
      </c>
      <c r="M7" s="4" t="s">
        <v>69</v>
      </c>
      <c r="N7" s="4" t="n">
        <v>31</v>
      </c>
    </row>
    <row r="8" customFormat="false" ht="15" hidden="false" customHeight="false" outlineLevel="0" collapsed="false">
      <c r="A8" s="0" t="s">
        <v>70</v>
      </c>
      <c r="B8" s="0" t="n">
        <v>5</v>
      </c>
      <c r="C8" s="0" t="n">
        <v>9</v>
      </c>
      <c r="D8" s="3" t="n">
        <f aca="false">ABS(C8-B8)</f>
        <v>4</v>
      </c>
      <c r="E8" s="3" t="n">
        <f aca="false">C8-B8</f>
        <v>4</v>
      </c>
      <c r="J8" s="4" t="n">
        <v>7</v>
      </c>
      <c r="K8" s="4" t="s">
        <v>71</v>
      </c>
      <c r="L8" s="4" t="s">
        <v>72</v>
      </c>
      <c r="M8" s="4" t="s">
        <v>73</v>
      </c>
      <c r="N8" s="4" t="n">
        <v>15</v>
      </c>
    </row>
    <row r="9" customFormat="false" ht="15" hidden="false" customHeight="false" outlineLevel="0" collapsed="false">
      <c r="J9" s="4" t="n">
        <v>8</v>
      </c>
      <c r="K9" s="4" t="s">
        <v>74</v>
      </c>
      <c r="L9" s="4" t="s">
        <v>75</v>
      </c>
      <c r="M9" s="4" t="s">
        <v>76</v>
      </c>
      <c r="N9" s="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s">
        <v>81</v>
      </c>
      <c r="B2" s="0" t="n">
        <v>64</v>
      </c>
      <c r="C2" s="3" t="n">
        <f aca="false">SQRT(B2)</f>
        <v>8</v>
      </c>
      <c r="D2" s="3" t="n">
        <f aca="false">SQRT(B2)*4</f>
        <v>32</v>
      </c>
      <c r="F2" s="3" t="n">
        <f aca="false">SQRT(144)</f>
        <v>12</v>
      </c>
      <c r="J2" s="4" t="n">
        <v>1</v>
      </c>
      <c r="K2" s="4" t="s">
        <v>82</v>
      </c>
      <c r="L2" s="4" t="s">
        <v>83</v>
      </c>
      <c r="M2" s="4" t="s">
        <v>84</v>
      </c>
      <c r="N2" s="4" t="n">
        <v>8</v>
      </c>
    </row>
    <row r="3" customFormat="false" ht="15" hidden="false" customHeight="false" outlineLevel="0" collapsed="false">
      <c r="A3" s="0" t="s">
        <v>85</v>
      </c>
      <c r="B3" s="0" t="n">
        <v>100</v>
      </c>
      <c r="C3" s="3" t="n">
        <f aca="false">SQRT(B3)</f>
        <v>10</v>
      </c>
      <c r="F3" s="3" t="e">
        <f aca="false">SQRT(-25)</f>
        <v>#VALUE!</v>
      </c>
      <c r="J3" s="4" t="n">
        <v>2</v>
      </c>
      <c r="K3" s="4" t="s">
        <v>86</v>
      </c>
      <c r="L3" s="4" t="s">
        <v>87</v>
      </c>
      <c r="M3" s="4"/>
      <c r="N3" s="4" t="n">
        <v>15</v>
      </c>
    </row>
    <row r="4" customFormat="false" ht="15" hidden="false" customHeight="false" outlineLevel="0" collapsed="false">
      <c r="A4" s="0" t="s">
        <v>88</v>
      </c>
      <c r="B4" s="0" t="n">
        <v>2</v>
      </c>
      <c r="C4" s="3" t="n">
        <f aca="false">SQRT(B4)</f>
        <v>1.4142135623731</v>
      </c>
      <c r="F4" s="3" t="n">
        <f aca="false">SQRT(ABS(-25))</f>
        <v>5</v>
      </c>
      <c r="J4" s="4" t="n">
        <v>3</v>
      </c>
      <c r="K4" s="4" t="s">
        <v>89</v>
      </c>
      <c r="L4" s="4" t="s">
        <v>90</v>
      </c>
      <c r="M4" s="4"/>
      <c r="N4" s="4" t="n">
        <v>1.41</v>
      </c>
    </row>
    <row r="5" customFormat="false" ht="15" hidden="false" customHeight="false" outlineLevel="0" collapsed="false">
      <c r="A5" s="0" t="s">
        <v>91</v>
      </c>
      <c r="B5" s="0" t="n">
        <v>225</v>
      </c>
      <c r="C5" s="3" t="n">
        <f aca="false">SQRT(B5)</f>
        <v>15</v>
      </c>
      <c r="F5" s="3" t="n">
        <f aca="false">SQRT(C2*C2+C2*C2)</f>
        <v>11.3137084989848</v>
      </c>
      <c r="J5" s="4" t="n">
        <v>4</v>
      </c>
      <c r="K5" s="4" t="s">
        <v>92</v>
      </c>
      <c r="L5" s="4" t="s">
        <v>93</v>
      </c>
      <c r="M5" s="4" t="s">
        <v>94</v>
      </c>
      <c r="N5" s="4" t="n">
        <v>12</v>
      </c>
    </row>
    <row r="6" customFormat="false" ht="15" hidden="false" customHeight="false" outlineLevel="0" collapsed="false">
      <c r="A6" s="0" t="s">
        <v>95</v>
      </c>
      <c r="B6" s="0" t="n">
        <v>50</v>
      </c>
      <c r="C6" s="3" t="n">
        <f aca="false">SQRT(B6)</f>
        <v>7.07106781186548</v>
      </c>
      <c r="J6" s="4" t="n">
        <v>5</v>
      </c>
      <c r="K6" s="4" t="s">
        <v>96</v>
      </c>
      <c r="L6" s="4" t="s">
        <v>97</v>
      </c>
      <c r="M6" s="4" t="s">
        <v>98</v>
      </c>
      <c r="N6" s="4" t="n">
        <v>32</v>
      </c>
    </row>
    <row r="7" customFormat="false" ht="15" hidden="false" customHeight="false" outlineLevel="0" collapsed="false">
      <c r="J7" s="4" t="n">
        <v>6</v>
      </c>
      <c r="K7" s="4" t="s">
        <v>99</v>
      </c>
      <c r="L7" s="4" t="s">
        <v>100</v>
      </c>
      <c r="M7" s="4" t="s">
        <v>101</v>
      </c>
      <c r="N7" s="4" t="s">
        <v>102</v>
      </c>
    </row>
    <row r="8" customFormat="false" ht="15" hidden="false" customHeight="false" outlineLevel="0" collapsed="false">
      <c r="J8" s="4" t="n">
        <v>7</v>
      </c>
      <c r="K8" s="4" t="s">
        <v>103</v>
      </c>
      <c r="L8" s="4" t="s">
        <v>104</v>
      </c>
      <c r="M8" s="4" t="s">
        <v>105</v>
      </c>
      <c r="N8" s="4" t="n">
        <v>5</v>
      </c>
    </row>
    <row r="9" customFormat="false" ht="15" hidden="false" customHeight="false" outlineLevel="0" collapsed="false">
      <c r="J9" s="4" t="n">
        <v>8</v>
      </c>
      <c r="K9" s="4" t="s">
        <v>106</v>
      </c>
      <c r="L9" s="4" t="s">
        <v>107</v>
      </c>
      <c r="M9" s="4" t="s">
        <v>108</v>
      </c>
      <c r="N9" s="4" t="n">
        <v>11.31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109</v>
      </c>
      <c r="B1" s="1" t="s">
        <v>110</v>
      </c>
      <c r="C1" s="1" t="s">
        <v>111</v>
      </c>
      <c r="D1" s="1" t="s">
        <v>112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n">
        <v>2</v>
      </c>
      <c r="B2" s="0" t="n">
        <v>3</v>
      </c>
      <c r="C2" s="3" t="n">
        <f aca="false">POWER(A2,B2)</f>
        <v>8</v>
      </c>
      <c r="D2" s="3" t="n">
        <f aca="false">A2^B2</f>
        <v>8</v>
      </c>
      <c r="F2" s="3" t="n">
        <f aca="false">POWER(A2,10)</f>
        <v>1024</v>
      </c>
      <c r="J2" s="4" t="n">
        <v>1</v>
      </c>
      <c r="K2" s="4" t="s">
        <v>113</v>
      </c>
      <c r="L2" s="4" t="s">
        <v>83</v>
      </c>
      <c r="M2" s="4" t="s">
        <v>114</v>
      </c>
      <c r="N2" s="4" t="n">
        <v>8</v>
      </c>
    </row>
    <row r="3" customFormat="false" ht="15" hidden="false" customHeight="false" outlineLevel="0" collapsed="false">
      <c r="A3" s="0" t="n">
        <v>3</v>
      </c>
      <c r="B3" s="0" t="n">
        <v>2</v>
      </c>
      <c r="C3" s="3" t="n">
        <f aca="false">POWER(A3,B3)</f>
        <v>9</v>
      </c>
      <c r="D3" s="3" t="n">
        <f aca="false">A3^B3</f>
        <v>9</v>
      </c>
      <c r="F3" s="3" t="n">
        <f aca="false">POWER(7,3)</f>
        <v>343</v>
      </c>
      <c r="J3" s="4" t="n">
        <v>2</v>
      </c>
      <c r="K3" s="4" t="s">
        <v>86</v>
      </c>
      <c r="L3" s="4" t="s">
        <v>87</v>
      </c>
      <c r="M3" s="4"/>
      <c r="N3" s="4" t="n">
        <v>10000</v>
      </c>
    </row>
    <row r="4" customFormat="false" ht="15" hidden="false" customHeight="false" outlineLevel="0" collapsed="false">
      <c r="A4" s="0" t="n">
        <v>5</v>
      </c>
      <c r="B4" s="0" t="n">
        <v>0</v>
      </c>
      <c r="C4" s="3" t="n">
        <f aca="false">POWER(A4,B4)</f>
        <v>1</v>
      </c>
      <c r="D4" s="3" t="n">
        <f aca="false">A4^B4</f>
        <v>1</v>
      </c>
      <c r="F4" s="3" t="n">
        <f aca="false">POWER(81,0.5)</f>
        <v>9</v>
      </c>
      <c r="J4" s="4" t="n">
        <v>3</v>
      </c>
      <c r="K4" s="4" t="s">
        <v>115</v>
      </c>
      <c r="L4" s="4" t="s">
        <v>116</v>
      </c>
      <c r="M4" s="4"/>
      <c r="N4" s="4" t="n">
        <v>0.25</v>
      </c>
    </row>
    <row r="5" customFormat="false" ht="15" hidden="false" customHeight="false" outlineLevel="0" collapsed="false">
      <c r="A5" s="0" t="n">
        <v>10</v>
      </c>
      <c r="B5" s="0" t="n">
        <v>4</v>
      </c>
      <c r="C5" s="3" t="n">
        <f aca="false">POWER(A5,B5)</f>
        <v>10000</v>
      </c>
      <c r="D5" s="3" t="n">
        <f aca="false">A5^B5</f>
        <v>10000</v>
      </c>
      <c r="F5" s="3" t="n">
        <f aca="false">100000*POWER(1.1,3)</f>
        <v>133100</v>
      </c>
      <c r="J5" s="4" t="n">
        <v>4</v>
      </c>
      <c r="K5" s="4" t="s">
        <v>117</v>
      </c>
      <c r="L5" s="4" t="s">
        <v>61</v>
      </c>
      <c r="M5" s="4" t="s">
        <v>118</v>
      </c>
      <c r="N5" s="4" t="n">
        <v>9</v>
      </c>
    </row>
    <row r="6" customFormat="false" ht="15" hidden="false" customHeight="false" outlineLevel="0" collapsed="false">
      <c r="A6" s="0" t="n">
        <v>4</v>
      </c>
      <c r="B6" s="0" t="n">
        <v>-1</v>
      </c>
      <c r="C6" s="3" t="n">
        <f aca="false">POWER(A6,B6)</f>
        <v>0.25</v>
      </c>
      <c r="D6" s="3" t="n">
        <f aca="false">A6^B6</f>
        <v>0.25</v>
      </c>
      <c r="J6" s="4" t="n">
        <v>5</v>
      </c>
      <c r="K6" s="4" t="s">
        <v>119</v>
      </c>
      <c r="L6" s="4" t="s">
        <v>93</v>
      </c>
      <c r="M6" s="4" t="s">
        <v>120</v>
      </c>
      <c r="N6" s="4" t="n">
        <v>1024</v>
      </c>
    </row>
    <row r="7" customFormat="false" ht="15" hidden="false" customHeight="false" outlineLevel="0" collapsed="false">
      <c r="J7" s="4" t="n">
        <v>6</v>
      </c>
      <c r="K7" s="4" t="s">
        <v>121</v>
      </c>
      <c r="L7" s="4" t="s">
        <v>100</v>
      </c>
      <c r="M7" s="4" t="s">
        <v>122</v>
      </c>
      <c r="N7" s="4" t="n">
        <v>343</v>
      </c>
    </row>
    <row r="8" customFormat="false" ht="28.35" hidden="false" customHeight="false" outlineLevel="0" collapsed="false">
      <c r="J8" s="4" t="n">
        <v>7</v>
      </c>
      <c r="K8" s="4" t="s">
        <v>123</v>
      </c>
      <c r="L8" s="4" t="s">
        <v>104</v>
      </c>
      <c r="M8" s="4" t="s">
        <v>124</v>
      </c>
      <c r="N8" s="4" t="n">
        <v>9</v>
      </c>
    </row>
    <row r="9" customFormat="false" ht="15" hidden="false" customHeight="false" outlineLevel="0" collapsed="false">
      <c r="J9" s="4" t="n">
        <v>8</v>
      </c>
      <c r="K9" s="4" t="s">
        <v>125</v>
      </c>
      <c r="L9" s="4" t="s">
        <v>107</v>
      </c>
      <c r="M9" s="4" t="s">
        <v>126</v>
      </c>
      <c r="N9" s="4" t="n">
        <v>133100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43</v>
      </c>
      <c r="B1" s="1" t="s">
        <v>127</v>
      </c>
      <c r="C1" s="1" t="s">
        <v>128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s">
        <v>48</v>
      </c>
      <c r="B2" s="0" t="s">
        <v>129</v>
      </c>
      <c r="C2" s="0" t="n">
        <v>2000</v>
      </c>
      <c r="F2" s="3" t="n">
        <f aca="false">SUMIF(C2:C9,"&gt;0")</f>
        <v>3000</v>
      </c>
      <c r="J2" s="4" t="n">
        <v>1</v>
      </c>
      <c r="K2" s="4" t="s">
        <v>130</v>
      </c>
      <c r="L2" s="4" t="s">
        <v>93</v>
      </c>
      <c r="M2" s="4" t="s">
        <v>131</v>
      </c>
      <c r="N2" s="4" t="n">
        <v>3000</v>
      </c>
    </row>
    <row r="3" customFormat="false" ht="15" hidden="false" customHeight="false" outlineLevel="0" collapsed="false">
      <c r="A3" s="0" t="s">
        <v>48</v>
      </c>
      <c r="B3" s="0" t="s">
        <v>132</v>
      </c>
      <c r="C3" s="0" t="n">
        <v>-450</v>
      </c>
      <c r="F3" s="3" t="n">
        <f aca="false">SUMIF(C2:C9,"&lt;0")</f>
        <v>-3300</v>
      </c>
      <c r="J3" s="4" t="n">
        <v>2</v>
      </c>
      <c r="K3" s="4" t="s">
        <v>133</v>
      </c>
      <c r="L3" s="4" t="s">
        <v>100</v>
      </c>
      <c r="M3" s="4" t="s">
        <v>134</v>
      </c>
      <c r="N3" s="4" t="n">
        <v>-3300</v>
      </c>
    </row>
    <row r="4" customFormat="false" ht="28.35" hidden="false" customHeight="false" outlineLevel="0" collapsed="false">
      <c r="A4" s="0" t="s">
        <v>52</v>
      </c>
      <c r="B4" s="0" t="s">
        <v>135</v>
      </c>
      <c r="C4" s="0" t="n">
        <v>-200</v>
      </c>
      <c r="F4" s="3" t="n">
        <f aca="false">SUMIF(B2:B9,"еда",C2:C9)</f>
        <v>-1400</v>
      </c>
      <c r="J4" s="4" t="n">
        <v>3</v>
      </c>
      <c r="K4" s="4" t="s">
        <v>136</v>
      </c>
      <c r="L4" s="4" t="s">
        <v>104</v>
      </c>
      <c r="M4" s="4" t="s">
        <v>137</v>
      </c>
      <c r="N4" s="4" t="n">
        <v>-1400</v>
      </c>
    </row>
    <row r="5" customFormat="false" ht="15" hidden="false" customHeight="false" outlineLevel="0" collapsed="false">
      <c r="A5" s="0" t="s">
        <v>56</v>
      </c>
      <c r="B5" s="0" t="s">
        <v>132</v>
      </c>
      <c r="C5" s="0" t="n">
        <v>-600</v>
      </c>
      <c r="E5" s="0" t="s">
        <v>135</v>
      </c>
      <c r="F5" s="3" t="n">
        <f aca="false">SUMIF(B2:B9,E5,C2:C9)</f>
        <v>-400</v>
      </c>
      <c r="J5" s="4" t="n">
        <v>4</v>
      </c>
      <c r="K5" s="4" t="s">
        <v>138</v>
      </c>
      <c r="L5" s="4" t="s">
        <v>107</v>
      </c>
      <c r="M5" s="4" t="s">
        <v>139</v>
      </c>
      <c r="N5" s="4" t="n">
        <v>-400</v>
      </c>
    </row>
    <row r="6" customFormat="false" ht="15" hidden="false" customHeight="false" outlineLevel="0" collapsed="false">
      <c r="A6" s="0" t="s">
        <v>59</v>
      </c>
      <c r="B6" s="0" t="s">
        <v>140</v>
      </c>
      <c r="C6" s="0" t="n">
        <v>-1500</v>
      </c>
      <c r="F6" s="3" t="n">
        <f aca="false">SUMIF(C2:C9,"&lt;-500")</f>
        <v>-2100</v>
      </c>
      <c r="J6" s="4" t="n">
        <v>5</v>
      </c>
      <c r="K6" s="4" t="s">
        <v>141</v>
      </c>
      <c r="L6" s="4" t="s">
        <v>142</v>
      </c>
      <c r="M6" s="4" t="s">
        <v>143</v>
      </c>
      <c r="N6" s="4" t="n">
        <v>-2100</v>
      </c>
    </row>
    <row r="7" customFormat="false" ht="15" hidden="false" customHeight="false" outlineLevel="0" collapsed="false">
      <c r="A7" s="0" t="s">
        <v>63</v>
      </c>
      <c r="B7" s="0" t="s">
        <v>129</v>
      </c>
      <c r="C7" s="0" t="n">
        <v>1000</v>
      </c>
      <c r="F7" s="3" t="n">
        <f aca="false">ABS(SUMIF(C2:C9,"&lt;0"))</f>
        <v>3300</v>
      </c>
      <c r="J7" s="4" t="n">
        <v>6</v>
      </c>
      <c r="K7" s="4" t="s">
        <v>144</v>
      </c>
      <c r="L7" s="4" t="s">
        <v>145</v>
      </c>
      <c r="M7" s="4" t="s">
        <v>146</v>
      </c>
      <c r="N7" s="4" t="n">
        <v>3300</v>
      </c>
    </row>
    <row r="8" customFormat="false" ht="15" hidden="false" customHeight="false" outlineLevel="0" collapsed="false">
      <c r="A8" s="0" t="s">
        <v>66</v>
      </c>
      <c r="B8" s="0" t="s">
        <v>132</v>
      </c>
      <c r="C8" s="0" t="n">
        <v>-350</v>
      </c>
      <c r="F8" s="3" t="n">
        <f aca="false">SUM(C2:C9)</f>
        <v>-300</v>
      </c>
      <c r="J8" s="4" t="n">
        <v>7</v>
      </c>
      <c r="K8" s="4" t="s">
        <v>147</v>
      </c>
      <c r="L8" s="4" t="s">
        <v>148</v>
      </c>
      <c r="M8" s="4" t="s">
        <v>149</v>
      </c>
      <c r="N8" s="4" t="n">
        <v>-300</v>
      </c>
    </row>
    <row r="9" customFormat="false" ht="15" hidden="false" customHeight="false" outlineLevel="0" collapsed="false">
      <c r="A9" s="0" t="s">
        <v>70</v>
      </c>
      <c r="B9" s="0" t="s">
        <v>135</v>
      </c>
      <c r="C9" s="0" t="n">
        <v>-200</v>
      </c>
      <c r="J9" s="4" t="n">
        <v>8</v>
      </c>
      <c r="K9" s="4" t="s">
        <v>150</v>
      </c>
      <c r="L9" s="4" t="s">
        <v>107</v>
      </c>
      <c r="M9" s="4" t="s">
        <v>151</v>
      </c>
      <c r="N9" s="4" t="n">
        <v>-1500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  <col collapsed="false" customWidth="true" hidden="false" outlineLevel="0" max="10" min="10" style="0" width="6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4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152</v>
      </c>
      <c r="B1" s="1" t="n">
        <v>16</v>
      </c>
      <c r="E1" s="3" t="n">
        <f aca="false">SQRT(B1)</f>
        <v>4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0" t="s">
        <v>153</v>
      </c>
      <c r="B2" s="0" t="n">
        <v>2.5</v>
      </c>
      <c r="E2" s="3" t="n">
        <f aca="false">POWER(E1,2)</f>
        <v>16</v>
      </c>
      <c r="J2" s="4" t="n">
        <v>1</v>
      </c>
      <c r="K2" s="4" t="s">
        <v>154</v>
      </c>
      <c r="L2" s="4" t="s">
        <v>155</v>
      </c>
      <c r="M2" s="4" t="s">
        <v>156</v>
      </c>
      <c r="N2" s="4" t="n">
        <v>4</v>
      </c>
    </row>
    <row r="3" customFormat="false" ht="15" hidden="false" customHeight="false" outlineLevel="0" collapsed="false">
      <c r="A3" s="0" t="s">
        <v>157</v>
      </c>
      <c r="B3" s="0" t="n">
        <v>100000</v>
      </c>
      <c r="E3" s="3" t="n">
        <f aca="false">4*E1*B2</f>
        <v>40</v>
      </c>
      <c r="J3" s="4" t="n">
        <v>2</v>
      </c>
      <c r="K3" s="4" t="s">
        <v>111</v>
      </c>
      <c r="L3" s="4" t="s">
        <v>23</v>
      </c>
      <c r="M3" s="4" t="s">
        <v>158</v>
      </c>
      <c r="N3" s="4" t="n">
        <v>16</v>
      </c>
    </row>
    <row r="4" customFormat="false" ht="15" hidden="false" customHeight="false" outlineLevel="0" collapsed="false">
      <c r="E4" s="3" t="n">
        <f aca="false">SUM(C6:C11)</f>
        <v>66500</v>
      </c>
      <c r="J4" s="4" t="n">
        <v>3</v>
      </c>
      <c r="K4" s="4" t="s">
        <v>159</v>
      </c>
      <c r="L4" s="4" t="s">
        <v>27</v>
      </c>
      <c r="M4" s="4" t="s">
        <v>160</v>
      </c>
      <c r="N4" s="4" t="n">
        <v>40</v>
      </c>
    </row>
    <row r="5" customFormat="false" ht="15" hidden="false" customHeight="false" outlineLevel="0" collapsed="false">
      <c r="A5" s="1" t="s">
        <v>5</v>
      </c>
      <c r="B5" s="1" t="s">
        <v>127</v>
      </c>
      <c r="C5" s="1" t="s">
        <v>161</v>
      </c>
      <c r="E5" s="3" t="n">
        <f aca="false">SUMIF(B6:B11,"краска",C6:C11)</f>
        <v>21500</v>
      </c>
      <c r="J5" s="4" t="n">
        <v>4</v>
      </c>
      <c r="K5" s="4" t="s">
        <v>162</v>
      </c>
      <c r="L5" s="4" t="s">
        <v>31</v>
      </c>
      <c r="M5" s="4" t="s">
        <v>163</v>
      </c>
      <c r="N5" s="4" t="n">
        <v>66500</v>
      </c>
    </row>
    <row r="6" customFormat="false" ht="15" hidden="false" customHeight="false" outlineLevel="0" collapsed="false">
      <c r="A6" s="0" t="s">
        <v>164</v>
      </c>
      <c r="B6" s="0" t="s">
        <v>165</v>
      </c>
      <c r="C6" s="0" t="n">
        <v>12000</v>
      </c>
      <c r="E6" s="3" t="n">
        <f aca="false">ABS(B3-E4)</f>
        <v>33500</v>
      </c>
      <c r="J6" s="4" t="n">
        <v>5</v>
      </c>
      <c r="K6" s="4" t="s">
        <v>166</v>
      </c>
      <c r="L6" s="4" t="s">
        <v>35</v>
      </c>
      <c r="M6" s="4" t="s">
        <v>167</v>
      </c>
      <c r="N6" s="4" t="n">
        <v>21500</v>
      </c>
    </row>
    <row r="7" customFormat="false" ht="15" hidden="false" customHeight="false" outlineLevel="0" collapsed="false">
      <c r="A7" s="0" t="s">
        <v>168</v>
      </c>
      <c r="B7" s="0" t="s">
        <v>165</v>
      </c>
      <c r="C7" s="0" t="n">
        <v>9500</v>
      </c>
      <c r="E7" s="3" t="n">
        <f aca="false">SUM(C6:C11)-SUMIF(B6:B11,"краска",C6:C11)</f>
        <v>45000</v>
      </c>
      <c r="J7" s="4" t="n">
        <v>6</v>
      </c>
      <c r="K7" s="4" t="s">
        <v>169</v>
      </c>
      <c r="L7" s="4" t="s">
        <v>39</v>
      </c>
      <c r="M7" s="4" t="s">
        <v>170</v>
      </c>
      <c r="N7" s="4" t="n">
        <v>33500</v>
      </c>
    </row>
    <row r="8" customFormat="false" ht="28.35" hidden="false" customHeight="false" outlineLevel="0" collapsed="false">
      <c r="A8" s="0" t="s">
        <v>171</v>
      </c>
      <c r="B8" s="0" t="s">
        <v>172</v>
      </c>
      <c r="C8" s="0" t="n">
        <v>35000</v>
      </c>
      <c r="J8" s="4" t="n">
        <v>7</v>
      </c>
      <c r="K8" s="4" t="s">
        <v>173</v>
      </c>
      <c r="L8" s="4" t="s">
        <v>174</v>
      </c>
      <c r="M8" s="4" t="s">
        <v>175</v>
      </c>
      <c r="N8" s="4" t="n">
        <v>45000</v>
      </c>
    </row>
    <row r="9" customFormat="false" ht="15" hidden="false" customHeight="false" outlineLevel="0" collapsed="false">
      <c r="A9" s="0" t="s">
        <v>176</v>
      </c>
      <c r="B9" s="0" t="s">
        <v>172</v>
      </c>
      <c r="C9" s="0" t="n">
        <v>4500</v>
      </c>
      <c r="J9" s="4" t="n">
        <v>8</v>
      </c>
      <c r="K9" s="4" t="s">
        <v>177</v>
      </c>
      <c r="L9" s="4" t="s">
        <v>39</v>
      </c>
      <c r="M9" s="4" t="s">
        <v>178</v>
      </c>
      <c r="N9" s="4" t="n">
        <v>6500</v>
      </c>
    </row>
    <row r="10" customFormat="false" ht="15" hidden="false" customHeight="false" outlineLevel="0" collapsed="false">
      <c r="A10" s="0" t="s">
        <v>179</v>
      </c>
      <c r="B10" s="0" t="s">
        <v>180</v>
      </c>
      <c r="C10" s="0" t="n">
        <v>3000</v>
      </c>
    </row>
    <row r="11" customFormat="false" ht="15" hidden="false" customHeight="false" outlineLevel="0" collapsed="false">
      <c r="A11" s="0" t="s">
        <v>181</v>
      </c>
      <c r="B11" s="0" t="s">
        <v>180</v>
      </c>
      <c r="C11" s="0" t="n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2026-10-24T04:46:28Z</dcterms:created>
  <dc:creator>openpyxl</dc:creator>
  <dc:description/>
  <dc:language>en-US</dc:language>
  <cp:lastModifiedBy/>
  <dcterms:modified xsi:type="dcterms:W3CDTF">2026-10-24T04:46:28Z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