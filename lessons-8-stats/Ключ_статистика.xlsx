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Ключ к этапу «Работа в Excel» (урок «Статистические функции», 8 класс).</t>
        </is>
      </c>
    </row>
    <row r="2">
      <c r="A2" t="inlineStr">
        <is>
          <t>На листах S1–S5 — таблица сценария и все формулы учеников уже вписаны (жёлтые ячейки).</t>
        </is>
      </c>
    </row>
    <row r="3">
      <c r="A3" t="inlineStr">
        <is>
          <t>Справа — шаги: где формула, формула в русском Excel и правильный ответ.</t>
        </is>
      </c>
    </row>
    <row r="4">
      <c r="A4" t="inlineStr">
        <is>
          <t>Шаги «измени …» ученик выполняет сам: в файле данные исходные, а ответ к такому шагу — после изменения.</t>
        </is>
      </c>
    </row>
    <row r="5">
      <c r="A5" t="inlineStr">
        <is>
          <t>Формулы записаны так, что русский Excel покажет их по-русски: СРЗНАЧ, МАКС, МИН, СУММ, ЕСЛИ.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Ученик</t>
        </is>
      </c>
      <c r="B1" s="1" t="inlineStr">
        <is>
          <t>СОР 1</t>
        </is>
      </c>
      <c r="C1" s="1" t="inlineStr">
        <is>
          <t>СОР 2</t>
        </is>
      </c>
      <c r="D1" s="1" t="inlineStr">
        <is>
          <t>СОР 3</t>
        </is>
      </c>
      <c r="E1" s="1" t="inlineStr">
        <is>
          <t>СОЧ</t>
        </is>
      </c>
      <c r="F1" s="1" t="inlineStr">
        <is>
          <t>Средний</t>
        </is>
      </c>
      <c r="G1" s="1" t="inlineStr">
        <is>
          <t>Вручную</t>
        </is>
      </c>
      <c r="H1" s="1" t="inlineStr">
        <is>
          <t>Отметка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5</v>
      </c>
      <c r="C2" t="n">
        <v>4</v>
      </c>
      <c r="D2" t="n">
        <v>5</v>
      </c>
      <c r="E2" t="n">
        <v>5</v>
      </c>
      <c r="F2" s="3">
        <f>AVERAGE(B2:E2)</f>
        <v/>
      </c>
      <c r="G2" s="3">
        <f>SUM(B2:E2)/4</f>
        <v/>
      </c>
      <c r="H2" s="3">
        <f>IF(F2&gt;=4.5,"отлично","")</f>
        <v/>
      </c>
      <c r="K2" s="4" t="n">
        <v>1</v>
      </c>
      <c r="L2" s="4" t="inlineStr">
        <is>
          <t>среднее по строке</t>
        </is>
      </c>
      <c r="M2" s="4" t="inlineStr">
        <is>
          <t>F2:F7 (ответ в F5)</t>
        </is>
      </c>
      <c r="N2" s="4" t="inlineStr">
        <is>
          <t>=СРЗНАЧ(B2:E2) и протянуть вниз</t>
        </is>
      </c>
      <c r="O2" s="4" t="n">
        <v>3</v>
      </c>
    </row>
    <row r="3">
      <c r="A3" t="inlineStr">
        <is>
          <t>Тимур</t>
        </is>
      </c>
      <c r="B3" t="n">
        <v>3</v>
      </c>
      <c r="C3" t="n">
        <v>4</v>
      </c>
      <c r="D3" t="n">
        <v>3</v>
      </c>
      <c r="E3" t="n">
        <v>4</v>
      </c>
      <c r="F3" s="3">
        <f>AVERAGE(B3:E3)</f>
        <v/>
      </c>
      <c r="H3" s="3">
        <f>IF(F3&gt;=4.5,"отлично","")</f>
        <v/>
      </c>
      <c r="K3" s="4" t="n">
        <v>2</v>
      </c>
      <c r="L3" s="4" t="inlineStr">
        <is>
          <t>среднее по столбцу</t>
        </is>
      </c>
      <c r="M3" s="4" t="inlineStr">
        <is>
          <t>B8</t>
        </is>
      </c>
      <c r="N3" s="4" t="inlineStr">
        <is>
          <t>=СРЗНАЧ(B2:B7)</t>
        </is>
      </c>
      <c r="O3" s="4" t="n">
        <v>3.83</v>
      </c>
    </row>
    <row r="4">
      <c r="A4" t="inlineStr">
        <is>
          <t>Дана</t>
        </is>
      </c>
      <c r="B4" t="n">
        <v>5</v>
      </c>
      <c r="C4" t="n">
        <v>5</v>
      </c>
      <c r="D4" t="n">
        <v>4</v>
      </c>
      <c r="E4" t="n">
        <v>5</v>
      </c>
      <c r="F4" s="3">
        <f>AVERAGE(B4:E4)</f>
        <v/>
      </c>
      <c r="H4" s="3">
        <f>IF(F4&gt;=4.5,"отлично","")</f>
        <v/>
      </c>
      <c r="K4" s="4" t="n">
        <v>3</v>
      </c>
      <c r="L4" s="4" t="inlineStr">
        <is>
          <t>вручную</t>
        </is>
      </c>
      <c r="M4" s="4" t="inlineStr">
        <is>
          <t>G2</t>
        </is>
      </c>
      <c r="N4" s="4" t="inlineStr">
        <is>
          <t>=СУММ(B2:E2)/4</t>
        </is>
      </c>
      <c r="O4" s="4" t="n">
        <v>4.75</v>
      </c>
    </row>
    <row r="5">
      <c r="A5" t="inlineStr">
        <is>
          <t>Арман</t>
        </is>
      </c>
      <c r="B5" t="n">
        <v>2</v>
      </c>
      <c r="C5" t="n">
        <v>3</v>
      </c>
      <c r="D5" t="n">
        <v>4</v>
      </c>
      <c r="E5" t="n">
        <v>3</v>
      </c>
      <c r="F5" s="3">
        <f>AVERAGE(B5:E5)</f>
        <v/>
      </c>
      <c r="H5" s="3">
        <f>IF(F5&gt;=4.5,"отлично","")</f>
        <v/>
      </c>
      <c r="K5" s="4" t="n">
        <v>4</v>
      </c>
      <c r="L5" s="4" t="inlineStr">
        <is>
          <t>отметка</t>
        </is>
      </c>
      <c r="M5" s="4" t="inlineStr">
        <is>
          <t>H2:H7 (ответ в H2)</t>
        </is>
      </c>
      <c r="N5" s="4" t="inlineStr">
        <is>
          <t>=ЕСЛИ(F2&gt;=4,5;"отлично";"") и протянуть вниз</t>
        </is>
      </c>
      <c r="O5" s="4" t="inlineStr">
        <is>
          <t>отлично</t>
        </is>
      </c>
    </row>
    <row r="6">
      <c r="A6" t="inlineStr">
        <is>
          <t>Мадина</t>
        </is>
      </c>
      <c r="B6" t="n">
        <v>4</v>
      </c>
      <c r="C6" t="n">
        <v>5</v>
      </c>
      <c r="D6" t="n">
        <v>5</v>
      </c>
      <c r="E6" t="n">
        <v>4</v>
      </c>
      <c r="F6" s="3">
        <f>AVERAGE(B6:E6)</f>
        <v/>
      </c>
      <c r="H6" s="3">
        <f>IF(F6&gt;=4.5,"отлично","")</f>
        <v/>
      </c>
      <c r="K6" s="4" t="n">
        <v>5</v>
      </c>
      <c r="L6" s="4" t="inlineStr">
        <is>
          <t>сложное: пропуск</t>
        </is>
      </c>
      <c r="M6" s="4" t="inlineStr">
        <is>
          <t>F3</t>
        </is>
      </c>
      <c r="N6" s="4" t="inlineStr">
        <is>
          <t>очисти C3</t>
        </is>
      </c>
      <c r="O6" s="4" t="n">
        <v>3.33</v>
      </c>
    </row>
    <row r="7">
      <c r="A7" t="inlineStr">
        <is>
          <t>Ерлан</t>
        </is>
      </c>
      <c r="B7" t="n">
        <v>4</v>
      </c>
      <c r="C7" t="n">
        <v>4</v>
      </c>
      <c r="D7" t="n">
        <v>3</v>
      </c>
      <c r="E7" t="n">
        <v>5</v>
      </c>
      <c r="F7" s="3">
        <f>AVERAGE(B7:E7)</f>
        <v/>
      </c>
      <c r="H7" s="3">
        <f>IF(F7&gt;=4.5,"отлично","")</f>
        <v/>
      </c>
      <c r="K7" s="4" t="n">
        <v>6</v>
      </c>
      <c r="L7" s="4" t="inlineStr">
        <is>
          <t>сложное: ноль</t>
        </is>
      </c>
      <c r="M7" s="4" t="inlineStr">
        <is>
          <t>F7</t>
        </is>
      </c>
      <c r="N7" s="4" t="inlineStr">
        <is>
          <t>измени D7 → 0</t>
        </is>
      </c>
      <c r="O7" s="4" t="n">
        <v>3.25</v>
      </c>
    </row>
    <row r="8">
      <c r="A8" t="inlineStr">
        <is>
          <t>Класс</t>
        </is>
      </c>
      <c r="B8" s="3">
        <f>AVERAGE(B2:B7)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День</t>
        </is>
      </c>
      <c r="B1" s="1" t="inlineStr">
        <is>
          <t>Днём</t>
        </is>
      </c>
      <c r="C1" s="1" t="inlineStr">
        <is>
          <t>Ночью</t>
        </is>
      </c>
      <c r="D1" s="1" t="inlineStr">
        <is>
          <t>Перепад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Пн</t>
        </is>
      </c>
      <c r="B2" t="n">
        <v>14</v>
      </c>
      <c r="C2" t="n">
        <v>5</v>
      </c>
      <c r="D2" s="3">
        <f>B2-C2</f>
        <v/>
      </c>
      <c r="K2" s="4" t="n">
        <v>1</v>
      </c>
      <c r="L2" s="4" t="inlineStr">
        <is>
          <t>МАКС</t>
        </is>
      </c>
      <c r="M2" s="4" t="inlineStr">
        <is>
          <t>B10</t>
        </is>
      </c>
      <c r="N2" s="4" t="inlineStr">
        <is>
          <t>=МАКС(B2:B8)</t>
        </is>
      </c>
      <c r="O2" s="4" t="n">
        <v>20</v>
      </c>
    </row>
    <row r="3">
      <c r="A3" t="inlineStr">
        <is>
          <t>Вт</t>
        </is>
      </c>
      <c r="B3" t="n">
        <v>16</v>
      </c>
      <c r="C3" t="n">
        <v>7</v>
      </c>
      <c r="D3" s="3">
        <f>B3-C3</f>
        <v/>
      </c>
      <c r="K3" s="4" t="n">
        <v>2</v>
      </c>
      <c r="L3" s="4" t="inlineStr">
        <is>
          <t>МИН</t>
        </is>
      </c>
      <c r="M3" s="4" t="inlineStr">
        <is>
          <t>C11</t>
        </is>
      </c>
      <c r="N3" s="4" t="inlineStr">
        <is>
          <t>=МИН(C2:C8)</t>
        </is>
      </c>
      <c r="O3" s="4" t="n">
        <v>-1</v>
      </c>
    </row>
    <row r="4">
      <c r="A4" t="inlineStr">
        <is>
          <t>Ср</t>
        </is>
      </c>
      <c r="B4" t="n">
        <v>11</v>
      </c>
      <c r="C4" t="n">
        <v>2</v>
      </c>
      <c r="D4" s="3">
        <f>B4-C4</f>
        <v/>
      </c>
      <c r="K4" s="4" t="n">
        <v>3</v>
      </c>
      <c r="L4" s="4" t="inlineStr">
        <is>
          <t>МАКС ночью</t>
        </is>
      </c>
      <c r="M4" s="4" t="inlineStr">
        <is>
          <t>C10</t>
        </is>
      </c>
      <c r="N4" s="4" t="inlineStr">
        <is>
          <t>=МАКС(C2:C8)</t>
        </is>
      </c>
      <c r="O4" s="4" t="n">
        <v>9</v>
      </c>
    </row>
    <row r="5">
      <c r="A5" t="inlineStr">
        <is>
          <t>Чт</t>
        </is>
      </c>
      <c r="B5" t="n">
        <v>18</v>
      </c>
      <c r="C5" t="n">
        <v>8</v>
      </c>
      <c r="D5" s="3">
        <f>B5-C5</f>
        <v/>
      </c>
      <c r="K5" s="4" t="n">
        <v>4</v>
      </c>
      <c r="L5" s="4" t="inlineStr">
        <is>
          <t>СРЗНАЧ</t>
        </is>
      </c>
      <c r="M5" s="4" t="inlineStr">
        <is>
          <t>B12</t>
        </is>
      </c>
      <c r="N5" s="4" t="inlineStr">
        <is>
          <t>=СРЗНАЧ(B2:B8)</t>
        </is>
      </c>
      <c r="O5" s="4" t="n">
        <v>15.57</v>
      </c>
    </row>
    <row r="6">
      <c r="A6" t="inlineStr">
        <is>
          <t>Пт</t>
        </is>
      </c>
      <c r="B6" t="n">
        <v>20</v>
      </c>
      <c r="C6" t="n">
        <v>9</v>
      </c>
      <c r="D6" s="3">
        <f>B6-C6</f>
        <v/>
      </c>
      <c r="K6" s="4" t="n">
        <v>5</v>
      </c>
      <c r="L6" s="4" t="inlineStr">
        <is>
          <t>размах</t>
        </is>
      </c>
      <c r="M6" s="4" t="inlineStr">
        <is>
          <t>B13</t>
        </is>
      </c>
      <c r="N6" s="4" t="inlineStr">
        <is>
          <t>=МАКС(B2:B8)-МИН(B2:B8)</t>
        </is>
      </c>
      <c r="O6" s="4" t="n">
        <v>9</v>
      </c>
    </row>
    <row r="7">
      <c r="A7" t="inlineStr">
        <is>
          <t>Сб</t>
        </is>
      </c>
      <c r="B7" t="n">
        <v>17</v>
      </c>
      <c r="C7" t="n">
        <v>6</v>
      </c>
      <c r="D7" s="3">
        <f>B7-C7</f>
        <v/>
      </c>
      <c r="K7" s="4" t="n">
        <v>6</v>
      </c>
      <c r="L7" s="4" t="inlineStr">
        <is>
          <t>сложное: перепад</t>
        </is>
      </c>
      <c r="M7" s="4" t="inlineStr">
        <is>
          <t>D2:D8 (ответ в D8)</t>
        </is>
      </c>
      <c r="N7" s="4" t="inlineStr">
        <is>
          <t>=B2-C2 и протянуть вниз</t>
        </is>
      </c>
      <c r="O7" s="4" t="n">
        <v>14</v>
      </c>
    </row>
    <row r="8">
      <c r="A8" t="inlineStr">
        <is>
          <t>Вс</t>
        </is>
      </c>
      <c r="B8" t="n">
        <v>13</v>
      </c>
      <c r="C8" t="n">
        <v>-1</v>
      </c>
      <c r="D8" s="3">
        <f>B8-C8</f>
        <v/>
      </c>
    </row>
    <row r="10">
      <c r="A10" t="inlineStr">
        <is>
          <t>Максимум</t>
        </is>
      </c>
      <c r="B10" s="3">
        <f>MAX(B2:B8)</f>
        <v/>
      </c>
      <c r="C10" s="3">
        <f>MAX(C2:C8)</f>
        <v/>
      </c>
    </row>
    <row r="11">
      <c r="A11" t="inlineStr">
        <is>
          <t>Минимум</t>
        </is>
      </c>
      <c r="C11" s="3">
        <f>MIN(C2:C8)</f>
        <v/>
      </c>
    </row>
    <row r="12">
      <c r="A12" t="inlineStr">
        <is>
          <t>Среднее</t>
        </is>
      </c>
      <c r="B12" s="3">
        <f>AVERAGE(B2:B8)</f>
        <v/>
      </c>
    </row>
    <row r="13">
      <c r="A13" t="inlineStr">
        <is>
          <t>Размах</t>
        </is>
      </c>
      <c r="B13" s="3">
        <f>MAX(B2:B8)-MIN(B2:B8)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Ученик</t>
        </is>
      </c>
      <c r="B1" s="1" t="inlineStr">
        <is>
          <t>Бег 60 м, с</t>
        </is>
      </c>
      <c r="C1" s="1" t="inlineStr">
        <is>
          <t>Прыжок, см</t>
        </is>
      </c>
      <c r="D1" s="1" t="inlineStr">
        <is>
          <t>Отжимания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9.800000000000001</v>
      </c>
      <c r="C2" t="n">
        <v>155</v>
      </c>
      <c r="D2" t="n">
        <v>12</v>
      </c>
      <c r="K2" s="4" t="n">
        <v>1</v>
      </c>
      <c r="L2" s="4" t="inlineStr">
        <is>
          <t>лучший в беге</t>
        </is>
      </c>
      <c r="M2" s="4" t="inlineStr">
        <is>
          <t>B9</t>
        </is>
      </c>
      <c r="N2" s="4" t="inlineStr">
        <is>
          <t>=МИН(B2:B7)</t>
        </is>
      </c>
      <c r="O2" s="4" t="n">
        <v>8.9</v>
      </c>
    </row>
    <row r="3">
      <c r="A3" t="inlineStr">
        <is>
          <t>Тимур</t>
        </is>
      </c>
      <c r="B3" t="n">
        <v>10.4</v>
      </c>
      <c r="C3" t="n">
        <v>170</v>
      </c>
      <c r="D3" t="n">
        <v>25</v>
      </c>
      <c r="K3" s="4" t="n">
        <v>2</v>
      </c>
      <c r="L3" s="4" t="inlineStr">
        <is>
          <t>лучший прыжок</t>
        </is>
      </c>
      <c r="M3" s="4" t="inlineStr">
        <is>
          <t>C9</t>
        </is>
      </c>
      <c r="N3" s="4" t="inlineStr">
        <is>
          <t>=МАКС(C2:C7)</t>
        </is>
      </c>
      <c r="O3" s="4" t="n">
        <v>182</v>
      </c>
    </row>
    <row r="4">
      <c r="A4" t="inlineStr">
        <is>
          <t>Дана</t>
        </is>
      </c>
      <c r="B4" t="n">
        <v>9.199999999999999</v>
      </c>
      <c r="C4" t="n">
        <v>140</v>
      </c>
      <c r="D4" t="n">
        <v>18</v>
      </c>
      <c r="K4" s="4" t="n">
        <v>3</v>
      </c>
      <c r="L4" s="4" t="inlineStr">
        <is>
          <t>лучшие отжимания</t>
        </is>
      </c>
      <c r="M4" s="4" t="inlineStr">
        <is>
          <t>D9</t>
        </is>
      </c>
      <c r="N4" s="4" t="inlineStr">
        <is>
          <t>=МАКС(D2:D7)</t>
        </is>
      </c>
      <c r="O4" s="4" t="n">
        <v>30</v>
      </c>
    </row>
    <row r="5">
      <c r="A5" t="inlineStr">
        <is>
          <t>Арман</t>
        </is>
      </c>
      <c r="B5" t="n">
        <v>8.9</v>
      </c>
      <c r="C5" t="n">
        <v>182</v>
      </c>
      <c r="D5" t="n">
        <v>30</v>
      </c>
      <c r="K5" s="4" t="n">
        <v>4</v>
      </c>
      <c r="L5" s="4" t="inlineStr">
        <is>
          <t>худший в беге</t>
        </is>
      </c>
      <c r="M5" s="4" t="inlineStr">
        <is>
          <t>B10</t>
        </is>
      </c>
      <c r="N5" s="4" t="inlineStr">
        <is>
          <t>=МАКС(B2:B7)</t>
        </is>
      </c>
      <c r="O5" s="4" t="n">
        <v>11</v>
      </c>
    </row>
    <row r="6">
      <c r="A6" t="inlineStr">
        <is>
          <t>Мадина</t>
        </is>
      </c>
      <c r="B6" t="n">
        <v>11</v>
      </c>
      <c r="C6" t="n">
        <v>130</v>
      </c>
      <c r="D6" t="n">
        <v>8</v>
      </c>
      <c r="K6" s="4" t="n">
        <v>5</v>
      </c>
      <c r="L6" s="4" t="inlineStr">
        <is>
          <t>средний прыжок</t>
        </is>
      </c>
      <c r="M6" s="4" t="inlineStr">
        <is>
          <t>C11</t>
        </is>
      </c>
      <c r="N6" s="4" t="inlineStr">
        <is>
          <t>=СРЗНАЧ(C2:C7)</t>
        </is>
      </c>
      <c r="O6" s="4" t="n">
        <v>157</v>
      </c>
    </row>
    <row r="7">
      <c r="A7" t="inlineStr">
        <is>
          <t>Ерлан</t>
        </is>
      </c>
      <c r="B7" t="n">
        <v>9.5</v>
      </c>
      <c r="C7" t="n">
        <v>165</v>
      </c>
      <c r="D7" t="n">
        <v>20</v>
      </c>
      <c r="K7" s="4" t="n">
        <v>6</v>
      </c>
      <c r="L7" s="4" t="inlineStr">
        <is>
          <t>сложное: до лучшего</t>
        </is>
      </c>
      <c r="M7" s="4" t="inlineStr">
        <is>
          <t>C12</t>
        </is>
      </c>
      <c r="N7" s="4" t="inlineStr">
        <is>
          <t>=МАКС(C2:C7)-C6</t>
        </is>
      </c>
      <c r="O7" s="4" t="n">
        <v>52</v>
      </c>
    </row>
    <row r="9">
      <c r="A9" t="inlineStr">
        <is>
          <t>Лучший</t>
        </is>
      </c>
      <c r="B9" s="3">
        <f>MIN(B2:B7)</f>
        <v/>
      </c>
      <c r="C9" s="3">
        <f>MAX(C2:C7)</f>
        <v/>
      </c>
      <c r="D9" s="3">
        <f>MAX(D2:D7)</f>
        <v/>
      </c>
    </row>
    <row r="10">
      <c r="A10" t="inlineStr">
        <is>
          <t>Худший</t>
        </is>
      </c>
      <c r="B10" s="3">
        <f>MAX(B2:B7)</f>
        <v/>
      </c>
    </row>
    <row r="11">
      <c r="A11" t="inlineStr">
        <is>
          <t>Средний</t>
        </is>
      </c>
      <c r="C11" s="3">
        <f>AVERAGE(C2:C7)</f>
        <v/>
      </c>
    </row>
    <row r="12">
      <c r="A12" t="inlineStr">
        <is>
          <t>Мадине до лучшего</t>
        </is>
      </c>
      <c r="C12" s="3">
        <f>MAX(C2:C7)-C6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Товар</t>
        </is>
      </c>
      <c r="B1" s="1" t="inlineStr">
        <is>
          <t>Магазин 1</t>
        </is>
      </c>
      <c r="C1" s="1" t="inlineStr">
        <is>
          <t>Магазин 2</t>
        </is>
      </c>
      <c r="D1" s="1" t="inlineStr">
        <is>
          <t>Магазин 3</t>
        </is>
      </c>
      <c r="E1" s="1" t="inlineStr">
        <is>
          <t>Дешевле всего</t>
        </is>
      </c>
      <c r="F1" s="1" t="inlineStr">
        <is>
          <t>Дороже всего</t>
        </is>
      </c>
      <c r="G1" s="1" t="inlineStr">
        <is>
          <t>Средняя цена</t>
        </is>
      </c>
      <c r="H1" s="1" t="inlineStr">
        <is>
          <t>Экономия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Тетрадь</t>
        </is>
      </c>
      <c r="B2" t="n">
        <v>150</v>
      </c>
      <c r="C2" t="n">
        <v>140</v>
      </c>
      <c r="D2" t="n">
        <v>165</v>
      </c>
      <c r="E2" s="3">
        <f>MIN(B2:D2)</f>
        <v/>
      </c>
      <c r="F2" s="3">
        <f>MAX(B2:D2)</f>
        <v/>
      </c>
      <c r="G2" s="3">
        <f>AVERAGE(B2:D2)</f>
        <v/>
      </c>
      <c r="H2" s="3">
        <f>F2-E2</f>
        <v/>
      </c>
      <c r="K2" s="4" t="n">
        <v>1</v>
      </c>
      <c r="L2" s="4" t="inlineStr">
        <is>
          <t>МИН по строке</t>
        </is>
      </c>
      <c r="M2" s="4" t="inlineStr">
        <is>
          <t>E2:E6 (ответ в E4)</t>
        </is>
      </c>
      <c r="N2" s="4" t="inlineStr">
        <is>
          <t>=МИН(B2:D2) и протянуть вниз</t>
        </is>
      </c>
      <c r="O2" s="4" t="n">
        <v>8900</v>
      </c>
    </row>
    <row r="3">
      <c r="A3" t="inlineStr">
        <is>
          <t>Ручка</t>
        </is>
      </c>
      <c r="B3" t="n">
        <v>120</v>
      </c>
      <c r="C3" t="n">
        <v>130</v>
      </c>
      <c r="D3" t="n">
        <v>110</v>
      </c>
      <c r="E3" s="3">
        <f>MIN(B3:D3)</f>
        <v/>
      </c>
      <c r="F3" s="3">
        <f>MAX(B3:D3)</f>
        <v/>
      </c>
      <c r="G3" s="3">
        <f>AVERAGE(B3:D3)</f>
        <v/>
      </c>
      <c r="H3" s="3">
        <f>F3-E3</f>
        <v/>
      </c>
      <c r="K3" s="4" t="n">
        <v>2</v>
      </c>
      <c r="L3" s="4" t="inlineStr">
        <is>
          <t>МАКС по строке</t>
        </is>
      </c>
      <c r="M3" s="4" t="inlineStr">
        <is>
          <t>F2:F6 (ответ в F4)</t>
        </is>
      </c>
      <c r="N3" s="4" t="inlineStr">
        <is>
          <t>=МАКС(B2:D2) и протянуть вниз</t>
        </is>
      </c>
      <c r="O3" s="4" t="n">
        <v>10200</v>
      </c>
    </row>
    <row r="4">
      <c r="A4" t="inlineStr">
        <is>
          <t>Рюкзак</t>
        </is>
      </c>
      <c r="B4" t="n">
        <v>9500</v>
      </c>
      <c r="C4" t="n">
        <v>8900</v>
      </c>
      <c r="D4" t="n">
        <v>10200</v>
      </c>
      <c r="E4" s="3">
        <f>MIN(B4:D4)</f>
        <v/>
      </c>
      <c r="F4" s="3">
        <f>MAX(B4:D4)</f>
        <v/>
      </c>
      <c r="G4" s="3">
        <f>AVERAGE(B4:D4)</f>
        <v/>
      </c>
      <c r="H4" s="3">
        <f>F4-E4</f>
        <v/>
      </c>
      <c r="K4" s="4" t="n">
        <v>3</v>
      </c>
      <c r="L4" s="4" t="inlineStr">
        <is>
          <t>СРЗНАЧ по строке</t>
        </is>
      </c>
      <c r="M4" s="4" t="inlineStr">
        <is>
          <t>G2:G6 (ответ в G5)</t>
        </is>
      </c>
      <c r="N4" s="4" t="inlineStr">
        <is>
          <t>=СРЗНАЧ(B2:D2) и протянуть вниз</t>
        </is>
      </c>
      <c r="O4" s="4" t="n">
        <v>1516.67</v>
      </c>
    </row>
    <row r="5">
      <c r="A5" t="inlineStr">
        <is>
          <t>Пенал</t>
        </is>
      </c>
      <c r="B5" t="n">
        <v>1500</v>
      </c>
      <c r="C5" t="n">
        <v>1400</v>
      </c>
      <c r="D5" t="n">
        <v>1650</v>
      </c>
      <c r="E5" s="3">
        <f>MIN(B5:D5)</f>
        <v/>
      </c>
      <c r="F5" s="3">
        <f>MAX(B5:D5)</f>
        <v/>
      </c>
      <c r="G5" s="3">
        <f>AVERAGE(B5:D5)</f>
        <v/>
      </c>
      <c r="H5" s="3">
        <f>F5-E5</f>
        <v/>
      </c>
      <c r="K5" s="4" t="n">
        <v>4</v>
      </c>
      <c r="L5" s="4" t="inlineStr">
        <is>
          <t>экономия</t>
        </is>
      </c>
      <c r="M5" s="4" t="inlineStr">
        <is>
          <t>H2:H6 (ответ в H4)</t>
        </is>
      </c>
      <c r="N5" s="4" t="inlineStr">
        <is>
          <t>=F2-E2 и протянуть вниз</t>
        </is>
      </c>
      <c r="O5" s="4" t="n">
        <v>1300</v>
      </c>
    </row>
    <row r="6">
      <c r="A6" t="inlineStr">
        <is>
          <t>Краски</t>
        </is>
      </c>
      <c r="B6" t="n">
        <v>900</v>
      </c>
      <c r="C6" t="n">
        <v>850</v>
      </c>
      <c r="D6" t="n">
        <v>950</v>
      </c>
      <c r="E6" s="3">
        <f>MIN(B6:D6)</f>
        <v/>
      </c>
      <c r="F6" s="3">
        <f>MAX(B6:D6)</f>
        <v/>
      </c>
      <c r="G6" s="3">
        <f>AVERAGE(B6:D6)</f>
        <v/>
      </c>
      <c r="H6" s="3">
        <f>F6-E6</f>
        <v/>
      </c>
      <c r="K6" s="4" t="n">
        <v>5</v>
      </c>
      <c r="L6" s="4" t="inlineStr">
        <is>
          <t>СУММ</t>
        </is>
      </c>
      <c r="M6" s="4" t="inlineStr">
        <is>
          <t>E7</t>
        </is>
      </c>
      <c r="N6" s="4" t="inlineStr">
        <is>
          <t>=СУММ(E2:E6)</t>
        </is>
      </c>
      <c r="O6" s="4" t="n">
        <v>11400</v>
      </c>
    </row>
    <row r="7">
      <c r="A7" t="inlineStr">
        <is>
          <t>Всего</t>
        </is>
      </c>
      <c r="E7" s="3">
        <f>SUM(E2:E6)</f>
        <v/>
      </c>
      <c r="K7" s="4" t="n">
        <v>6</v>
      </c>
      <c r="L7" s="4" t="inlineStr">
        <is>
          <t>сложное: цена выросла</t>
        </is>
      </c>
      <c r="M7" s="4" t="inlineStr">
        <is>
          <t>E4</t>
        </is>
      </c>
      <c r="N7" s="4" t="inlineStr">
        <is>
          <t>измени C4 → 9800</t>
        </is>
      </c>
      <c r="O7" s="4" t="n">
        <v>9500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" customWidth="1" min="11" max="11"/>
    <col width="24" customWidth="1" min="12" max="12"/>
    <col width="16" customWidth="1" min="13" max="13"/>
    <col width="48" customWidth="1" min="14" max="14"/>
    <col width="12" customWidth="1" min="15" max="15"/>
  </cols>
  <sheetData>
    <row r="1">
      <c r="A1" s="1" t="inlineStr">
        <is>
          <t>Участник</t>
        </is>
      </c>
      <c r="B1" s="1" t="inlineStr">
        <is>
          <t>Тур 1</t>
        </is>
      </c>
      <c r="C1" s="1" t="inlineStr">
        <is>
          <t>Тур 2</t>
        </is>
      </c>
      <c r="D1" s="1" t="inlineStr">
        <is>
          <t>Тур 3</t>
        </is>
      </c>
      <c r="E1" s="1" t="inlineStr">
        <is>
          <t>Сумма</t>
        </is>
      </c>
      <c r="F1" s="1" t="inlineStr">
        <is>
          <t>Средний</t>
        </is>
      </c>
      <c r="G1" s="1" t="inlineStr">
        <is>
          <t>Лучший тур</t>
        </is>
      </c>
      <c r="H1" s="1" t="inlineStr">
        <is>
          <t>Итог</t>
        </is>
      </c>
      <c r="K1" s="2" t="inlineStr">
        <is>
          <t>Шаг</t>
        </is>
      </c>
      <c r="L1" s="2" t="inlineStr">
        <is>
          <t>Тип шага</t>
        </is>
      </c>
      <c r="M1" s="2" t="inlineStr">
        <is>
          <t>Где</t>
        </is>
      </c>
      <c r="N1" s="2" t="inlineStr">
        <is>
          <t>Формула (русский Excel)</t>
        </is>
      </c>
      <c r="O1" s="2" t="inlineStr">
        <is>
          <t>Ответ</t>
        </is>
      </c>
    </row>
    <row r="2">
      <c r="A2" t="inlineStr">
        <is>
          <t>Айдана</t>
        </is>
      </c>
      <c r="B2" t="n">
        <v>8</v>
      </c>
      <c r="C2" t="n">
        <v>9</v>
      </c>
      <c r="D2" t="n">
        <v>10</v>
      </c>
      <c r="E2" s="3">
        <f>SUM(B2:D2)</f>
        <v/>
      </c>
      <c r="F2" s="3">
        <f>AVERAGE(B2:D2)</f>
        <v/>
      </c>
      <c r="G2" s="3">
        <f>MAX(B2:D2)</f>
        <v/>
      </c>
      <c r="K2" s="4" t="n">
        <v>1</v>
      </c>
      <c r="L2" s="4" t="inlineStr">
        <is>
          <t>СУММ</t>
        </is>
      </c>
      <c r="M2" s="4" t="inlineStr">
        <is>
          <t>E2:E7 (ответ в E6)</t>
        </is>
      </c>
      <c r="N2" s="4" t="inlineStr">
        <is>
          <t>=СУММ(B2:D2) и протянуть вниз</t>
        </is>
      </c>
      <c r="O2" s="4" t="n">
        <v>29</v>
      </c>
    </row>
    <row r="3">
      <c r="A3" t="inlineStr">
        <is>
          <t>Тимур</t>
        </is>
      </c>
      <c r="B3" t="n">
        <v>6</v>
      </c>
      <c r="C3" t="n">
        <v>7</v>
      </c>
      <c r="D3" t="n">
        <v>5</v>
      </c>
      <c r="E3" s="3">
        <f>SUM(B3:D3)</f>
        <v/>
      </c>
      <c r="F3" s="3">
        <f>AVERAGE(B3:D3)</f>
        <v/>
      </c>
      <c r="G3" s="3">
        <f>MAX(B3:D3)</f>
        <v/>
      </c>
      <c r="K3" s="4" t="n">
        <v>2</v>
      </c>
      <c r="L3" s="4" t="inlineStr">
        <is>
          <t>СРЗНАЧ</t>
        </is>
      </c>
      <c r="M3" s="4" t="inlineStr">
        <is>
          <t>F2:F7 (ответ в F3)</t>
        </is>
      </c>
      <c r="N3" s="4" t="inlineStr">
        <is>
          <t>=СРЗНАЧ(B2:D2) и протянуть вниз</t>
        </is>
      </c>
      <c r="O3" s="4" t="n">
        <v>6</v>
      </c>
    </row>
    <row r="4">
      <c r="A4" t="inlineStr">
        <is>
          <t>Дана</t>
        </is>
      </c>
      <c r="B4" t="n">
        <v>10</v>
      </c>
      <c r="C4" t="n">
        <v>8</v>
      </c>
      <c r="D4" t="n">
        <v>9</v>
      </c>
      <c r="E4" s="3">
        <f>SUM(B4:D4)</f>
        <v/>
      </c>
      <c r="F4" s="3">
        <f>AVERAGE(B4:D4)</f>
        <v/>
      </c>
      <c r="G4" s="3">
        <f>MAX(B4:D4)</f>
        <v/>
      </c>
      <c r="K4" s="4" t="n">
        <v>3</v>
      </c>
      <c r="L4" s="4" t="inlineStr">
        <is>
          <t>МАКС</t>
        </is>
      </c>
      <c r="M4" s="4" t="inlineStr">
        <is>
          <t>G2:G7 (ответ в G5)</t>
        </is>
      </c>
      <c r="N4" s="4" t="inlineStr">
        <is>
          <t>=МАКС(B2:D2) и протянуть вниз</t>
        </is>
      </c>
      <c r="O4" s="4" t="n">
        <v>7</v>
      </c>
    </row>
    <row r="5">
      <c r="A5" t="inlineStr">
        <is>
          <t>Арман</t>
        </is>
      </c>
      <c r="B5" t="n">
        <v>4</v>
      </c>
      <c r="C5" t="n">
        <v>6</v>
      </c>
      <c r="D5" t="n">
        <v>7</v>
      </c>
      <c r="E5" s="3">
        <f>SUM(B5:D5)</f>
        <v/>
      </c>
      <c r="F5" s="3">
        <f>AVERAGE(B5:D5)</f>
        <v/>
      </c>
      <c r="G5" s="3">
        <f>MAX(B5:D5)</f>
        <v/>
      </c>
      <c r="K5" s="4" t="n">
        <v>4</v>
      </c>
      <c r="L5" s="4" t="inlineStr">
        <is>
          <t>лучшая сумма</t>
        </is>
      </c>
      <c r="M5" s="4" t="inlineStr">
        <is>
          <t>E8</t>
        </is>
      </c>
      <c r="N5" s="4" t="inlineStr">
        <is>
          <t>=МАКС(E2:E7)</t>
        </is>
      </c>
      <c r="O5" s="4" t="n">
        <v>29</v>
      </c>
    </row>
    <row r="6">
      <c r="A6" t="inlineStr">
        <is>
          <t>Мадина</t>
        </is>
      </c>
      <c r="B6" t="n">
        <v>9</v>
      </c>
      <c r="C6" t="n">
        <v>10</v>
      </c>
      <c r="D6" t="n">
        <v>10</v>
      </c>
      <c r="E6" s="3">
        <f>SUM(B6:D6)</f>
        <v/>
      </c>
      <c r="F6" s="3">
        <f>AVERAGE(B6:D6)</f>
        <v/>
      </c>
      <c r="G6" s="3">
        <f>MAX(B6:D6)</f>
        <v/>
      </c>
      <c r="H6" s="3">
        <f>IF(E6&gt;E9,"призёр","участник")</f>
        <v/>
      </c>
      <c r="K6" s="4" t="n">
        <v>5</v>
      </c>
      <c r="L6" s="4" t="inlineStr">
        <is>
          <t>средняя сумма</t>
        </is>
      </c>
      <c r="M6" s="4" t="inlineStr">
        <is>
          <t>E9</t>
        </is>
      </c>
      <c r="N6" s="4" t="inlineStr">
        <is>
          <t>=СРЗНАЧ(E2:E7)</t>
        </is>
      </c>
      <c r="O6" s="4" t="n">
        <v>23</v>
      </c>
    </row>
    <row r="7">
      <c r="A7" t="inlineStr">
        <is>
          <t>Ерлан</t>
        </is>
      </c>
      <c r="B7" t="n">
        <v>7</v>
      </c>
      <c r="C7" t="n">
        <v>5</v>
      </c>
      <c r="D7" t="n">
        <v>8</v>
      </c>
      <c r="E7" s="3">
        <f>SUM(B7:D7)</f>
        <v/>
      </c>
      <c r="F7" s="3">
        <f>AVERAGE(B7:D7)</f>
        <v/>
      </c>
      <c r="G7" s="3">
        <f>MAX(B7:D7)</f>
        <v/>
      </c>
      <c r="K7" s="4" t="n">
        <v>6</v>
      </c>
      <c r="L7" s="4" t="inlineStr">
        <is>
          <t>сложное: ЕСЛИ</t>
        </is>
      </c>
      <c r="M7" s="4" t="inlineStr">
        <is>
          <t>H6</t>
        </is>
      </c>
      <c r="N7" s="4" t="inlineStr">
        <is>
          <t>=ЕСЛИ(E6&gt;E9;"призёр";"участник")</t>
        </is>
      </c>
      <c r="O7" s="4" t="inlineStr">
        <is>
          <t>призёр</t>
        </is>
      </c>
    </row>
    <row r="8">
      <c r="A8" t="inlineStr">
        <is>
          <t>Лучшая сумма</t>
        </is>
      </c>
      <c r="E8" s="3">
        <f>MAX(E2:E7)</f>
        <v/>
      </c>
    </row>
    <row r="9">
      <c r="A9" t="inlineStr">
        <is>
          <t>Средняя сумма</t>
        </is>
      </c>
      <c r="E9" s="3">
        <f>AVERAGE(E2:E7)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2026-10-24T17:31:32Z</dcterms:created>
  <dcterms:modified xmlns:dcterms="http://purl.org/dc/terms/" xmlns:xsi="http://www.w3.org/2001/XMLSchema-instance" xsi:type="dcterms:W3CDTF">2026-10-24T17:31:32Z</dcterms:modified>
</cp:coreProperties>
</file>