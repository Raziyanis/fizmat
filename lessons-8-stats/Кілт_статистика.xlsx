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Қалай қолдану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«Excel-де жұмыс» кезеңінің кілті («Статистикалық функциялар» сабағы, 8 сынып).</t>
        </is>
      </c>
    </row>
    <row r="2">
      <c r="A2" t="inlineStr">
        <is>
          <t>S1–S5 парақтарында — сценарий кестесі және оқушылардың барлық формуласы жазылған (сары ұяшықтар).</t>
        </is>
      </c>
    </row>
    <row r="3">
      <c r="A3" t="inlineStr">
        <is>
          <t>Оң жақта — қадамдар: формула қайда, орыс тіліндегі Excel-дегі формула және дұрыс жауап.</t>
        </is>
      </c>
    </row>
    <row r="4">
      <c r="A4" t="inlineStr">
        <is>
          <t>«Өзгерт …» қадамдарын оқушы өзі орындайды: файлда бастапқы деректер, ал мұндай қадамның жауабы — өзгерткеннен кейін.</t>
        </is>
      </c>
    </row>
    <row r="5">
      <c r="A5" t="inlineStr">
        <is>
          <t>Формулалар орыс тіліндегі Excel оларды орысша көрсететіндей жазылған: СРЗНАЧ, МАКС, МИН, СУММ, ЕСЛИ. Функция атаулары Excel-дің тіліне байланысты көрсетіледі.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Оқушы</t>
        </is>
      </c>
      <c r="B1" s="1" t="inlineStr">
        <is>
          <t>БЖБ 1</t>
        </is>
      </c>
      <c r="C1" s="1" t="inlineStr">
        <is>
          <t>БЖБ 2</t>
        </is>
      </c>
      <c r="D1" s="1" t="inlineStr">
        <is>
          <t>БЖБ 3</t>
        </is>
      </c>
      <c r="E1" s="1" t="inlineStr">
        <is>
          <t>ТЖБ</t>
        </is>
      </c>
      <c r="F1" s="1" t="inlineStr">
        <is>
          <t>Орташа</t>
        </is>
      </c>
      <c r="G1" s="1" t="inlineStr">
        <is>
          <t>Қолмен</t>
        </is>
      </c>
      <c r="H1" s="1" t="inlineStr">
        <is>
          <t>Белгі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Айдана</t>
        </is>
      </c>
      <c r="B2" t="n">
        <v>5</v>
      </c>
      <c r="C2" t="n">
        <v>4</v>
      </c>
      <c r="D2" t="n">
        <v>5</v>
      </c>
      <c r="E2" t="n">
        <v>5</v>
      </c>
      <c r="F2" s="3">
        <f>AVERAGE(B2:E2)</f>
        <v/>
      </c>
      <c r="G2" s="3">
        <f>SUM(B2:E2)/4</f>
        <v/>
      </c>
      <c r="H2" s="3">
        <f>IF(F2&gt;=4.5,"өте жақсы","")</f>
        <v/>
      </c>
      <c r="K2" s="4" t="n">
        <v>1</v>
      </c>
      <c r="L2" s="4" t="inlineStr">
        <is>
          <t>жол бойынша орташа</t>
        </is>
      </c>
      <c r="M2" s="4" t="inlineStr">
        <is>
          <t>F2:F7 (жауап F5 ұяшығында)</t>
        </is>
      </c>
      <c r="N2" s="4" t="inlineStr">
        <is>
          <t>=СРЗНАЧ(B2:E2) және төмен созып көшіру</t>
        </is>
      </c>
      <c r="O2" s="4" t="n">
        <v>3</v>
      </c>
    </row>
    <row r="3">
      <c r="A3" t="inlineStr">
        <is>
          <t>Тимур</t>
        </is>
      </c>
      <c r="B3" t="n">
        <v>3</v>
      </c>
      <c r="C3" t="n">
        <v>4</v>
      </c>
      <c r="D3" t="n">
        <v>3</v>
      </c>
      <c r="E3" t="n">
        <v>4</v>
      </c>
      <c r="F3" s="3">
        <f>AVERAGE(B3:E3)</f>
        <v/>
      </c>
      <c r="H3" s="3">
        <f>IF(F3&gt;=4.5,"өте жақсы","")</f>
        <v/>
      </c>
      <c r="K3" s="4" t="n">
        <v>2</v>
      </c>
      <c r="L3" s="4" t="inlineStr">
        <is>
          <t>баған бойынша орташа</t>
        </is>
      </c>
      <c r="M3" s="4" t="inlineStr">
        <is>
          <t>B8</t>
        </is>
      </c>
      <c r="N3" s="4" t="inlineStr">
        <is>
          <t>=СРЗНАЧ(B2:B7)</t>
        </is>
      </c>
      <c r="O3" s="4" t="n">
        <v>3.83</v>
      </c>
    </row>
    <row r="4">
      <c r="A4" t="inlineStr">
        <is>
          <t>Дана</t>
        </is>
      </c>
      <c r="B4" t="n">
        <v>5</v>
      </c>
      <c r="C4" t="n">
        <v>5</v>
      </c>
      <c r="D4" t="n">
        <v>4</v>
      </c>
      <c r="E4" t="n">
        <v>5</v>
      </c>
      <c r="F4" s="3">
        <f>AVERAGE(B4:E4)</f>
        <v/>
      </c>
      <c r="H4" s="3">
        <f>IF(F4&gt;=4.5,"өте жақсы","")</f>
        <v/>
      </c>
      <c r="K4" s="4" t="n">
        <v>3</v>
      </c>
      <c r="L4" s="4" t="inlineStr">
        <is>
          <t>қолмен</t>
        </is>
      </c>
      <c r="M4" s="4" t="inlineStr">
        <is>
          <t>G2</t>
        </is>
      </c>
      <c r="N4" s="4" t="inlineStr">
        <is>
          <t>=СУММ(B2:E2)/4</t>
        </is>
      </c>
      <c r="O4" s="4" t="n">
        <v>4.75</v>
      </c>
    </row>
    <row r="5">
      <c r="A5" t="inlineStr">
        <is>
          <t>Арман</t>
        </is>
      </c>
      <c r="B5" t="n">
        <v>2</v>
      </c>
      <c r="C5" t="n">
        <v>3</v>
      </c>
      <c r="D5" t="n">
        <v>4</v>
      </c>
      <c r="E5" t="n">
        <v>3</v>
      </c>
      <c r="F5" s="3">
        <f>AVERAGE(B5:E5)</f>
        <v/>
      </c>
      <c r="H5" s="3">
        <f>IF(F5&gt;=4.5,"өте жақсы","")</f>
        <v/>
      </c>
      <c r="K5" s="4" t="n">
        <v>4</v>
      </c>
      <c r="L5" s="4" t="inlineStr">
        <is>
          <t>белгі</t>
        </is>
      </c>
      <c r="M5" s="4" t="inlineStr">
        <is>
          <t>H2:H7 (жауап H2 ұяшығында)</t>
        </is>
      </c>
      <c r="N5" s="4" t="inlineStr">
        <is>
          <t>=ЕСЛИ(F2&gt;=4,5;"өте жақсы";"") және төмен созып көшіру</t>
        </is>
      </c>
      <c r="O5" s="4" t="inlineStr">
        <is>
          <t>өте жақсы</t>
        </is>
      </c>
    </row>
    <row r="6">
      <c r="A6" t="inlineStr">
        <is>
          <t>Мадина</t>
        </is>
      </c>
      <c r="B6" t="n">
        <v>4</v>
      </c>
      <c r="C6" t="n">
        <v>5</v>
      </c>
      <c r="D6" t="n">
        <v>5</v>
      </c>
      <c r="E6" t="n">
        <v>4</v>
      </c>
      <c r="F6" s="3">
        <f>AVERAGE(B6:E6)</f>
        <v/>
      </c>
      <c r="H6" s="3">
        <f>IF(F6&gt;=4.5,"өте жақсы","")</f>
        <v/>
      </c>
      <c r="K6" s="4" t="n">
        <v>5</v>
      </c>
      <c r="L6" s="4" t="inlineStr">
        <is>
          <t>күрделі: босату</t>
        </is>
      </c>
      <c r="M6" s="4" t="inlineStr">
        <is>
          <t>F3</t>
        </is>
      </c>
      <c r="N6" s="4" t="inlineStr">
        <is>
          <t>C3 ұяшығын тазала</t>
        </is>
      </c>
      <c r="O6" s="4" t="n">
        <v>3.33</v>
      </c>
    </row>
    <row r="7">
      <c r="A7" t="inlineStr">
        <is>
          <t>Ерлан</t>
        </is>
      </c>
      <c r="B7" t="n">
        <v>4</v>
      </c>
      <c r="C7" t="n">
        <v>4</v>
      </c>
      <c r="D7" t="n">
        <v>3</v>
      </c>
      <c r="E7" t="n">
        <v>5</v>
      </c>
      <c r="F7" s="3">
        <f>AVERAGE(B7:E7)</f>
        <v/>
      </c>
      <c r="H7" s="3">
        <f>IF(F7&gt;=4.5,"өте жақсы","")</f>
        <v/>
      </c>
      <c r="K7" s="4" t="n">
        <v>6</v>
      </c>
      <c r="L7" s="4" t="inlineStr">
        <is>
          <t>күрделі: нөл</t>
        </is>
      </c>
      <c r="M7" s="4" t="inlineStr">
        <is>
          <t>F7</t>
        </is>
      </c>
      <c r="N7" s="4" t="inlineStr">
        <is>
          <t>D7 мәнін 0 деп өзгерт</t>
        </is>
      </c>
      <c r="O7" s="4" t="n">
        <v>3.25</v>
      </c>
    </row>
    <row r="8">
      <c r="A8" t="inlineStr">
        <is>
          <t>Сынып</t>
        </is>
      </c>
      <c r="B8" s="3">
        <f>AVERAGE(B2:B7)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Күн</t>
        </is>
      </c>
      <c r="B1" s="1" t="inlineStr">
        <is>
          <t>Күндіз</t>
        </is>
      </c>
      <c r="C1" s="1" t="inlineStr">
        <is>
          <t>Түнде</t>
        </is>
      </c>
      <c r="D1" s="1" t="inlineStr">
        <is>
          <t>Айырмашылық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Дс</t>
        </is>
      </c>
      <c r="B2" t="n">
        <v>14</v>
      </c>
      <c r="C2" t="n">
        <v>5</v>
      </c>
      <c r="D2" s="3">
        <f>B2-C2</f>
        <v/>
      </c>
      <c r="K2" s="4" t="n">
        <v>1</v>
      </c>
      <c r="L2" s="4" t="inlineStr">
        <is>
          <t>МАКС</t>
        </is>
      </c>
      <c r="M2" s="4" t="inlineStr">
        <is>
          <t>B10</t>
        </is>
      </c>
      <c r="N2" s="4" t="inlineStr">
        <is>
          <t>=МАКС(B2:B8)</t>
        </is>
      </c>
      <c r="O2" s="4" t="n">
        <v>20</v>
      </c>
    </row>
    <row r="3">
      <c r="A3" t="inlineStr">
        <is>
          <t>Сс</t>
        </is>
      </c>
      <c r="B3" t="n">
        <v>16</v>
      </c>
      <c r="C3" t="n">
        <v>7</v>
      </c>
      <c r="D3" s="3">
        <f>B3-C3</f>
        <v/>
      </c>
      <c r="K3" s="4" t="n">
        <v>2</v>
      </c>
      <c r="L3" s="4" t="inlineStr">
        <is>
          <t>МИН</t>
        </is>
      </c>
      <c r="M3" s="4" t="inlineStr">
        <is>
          <t>C11</t>
        </is>
      </c>
      <c r="N3" s="4" t="inlineStr">
        <is>
          <t>=МИН(C2:C8)</t>
        </is>
      </c>
      <c r="O3" s="4" t="n">
        <v>-1</v>
      </c>
    </row>
    <row r="4">
      <c r="A4" t="inlineStr">
        <is>
          <t>Ср</t>
        </is>
      </c>
      <c r="B4" t="n">
        <v>11</v>
      </c>
      <c r="C4" t="n">
        <v>2</v>
      </c>
      <c r="D4" s="3">
        <f>B4-C4</f>
        <v/>
      </c>
      <c r="K4" s="4" t="n">
        <v>3</v>
      </c>
      <c r="L4" s="4" t="inlineStr">
        <is>
          <t>Түнгі МАКС</t>
        </is>
      </c>
      <c r="M4" s="4" t="inlineStr">
        <is>
          <t>C10</t>
        </is>
      </c>
      <c r="N4" s="4" t="inlineStr">
        <is>
          <t>=МАКС(C2:C8)</t>
        </is>
      </c>
      <c r="O4" s="4" t="n">
        <v>9</v>
      </c>
    </row>
    <row r="5">
      <c r="A5" t="inlineStr">
        <is>
          <t>Бс</t>
        </is>
      </c>
      <c r="B5" t="n">
        <v>18</v>
      </c>
      <c r="C5" t="n">
        <v>8</v>
      </c>
      <c r="D5" s="3">
        <f>B5-C5</f>
        <v/>
      </c>
      <c r="K5" s="4" t="n">
        <v>4</v>
      </c>
      <c r="L5" s="4" t="inlineStr">
        <is>
          <t>СРЗНАЧ</t>
        </is>
      </c>
      <c r="M5" s="4" t="inlineStr">
        <is>
          <t>B12</t>
        </is>
      </c>
      <c r="N5" s="4" t="inlineStr">
        <is>
          <t>=СРЗНАЧ(B2:B8)</t>
        </is>
      </c>
      <c r="O5" s="4" t="n">
        <v>15.57</v>
      </c>
    </row>
    <row r="6">
      <c r="A6" t="inlineStr">
        <is>
          <t>Жм</t>
        </is>
      </c>
      <c r="B6" t="n">
        <v>20</v>
      </c>
      <c r="C6" t="n">
        <v>9</v>
      </c>
      <c r="D6" s="3">
        <f>B6-C6</f>
        <v/>
      </c>
      <c r="K6" s="4" t="n">
        <v>5</v>
      </c>
      <c r="L6" s="4" t="inlineStr">
        <is>
          <t>құлаш</t>
        </is>
      </c>
      <c r="M6" s="4" t="inlineStr">
        <is>
          <t>B13</t>
        </is>
      </c>
      <c r="N6" s="4" t="inlineStr">
        <is>
          <t>=МАКС(B2:B8)-МИН(B2:B8)</t>
        </is>
      </c>
      <c r="O6" s="4" t="n">
        <v>9</v>
      </c>
    </row>
    <row r="7">
      <c r="A7" t="inlineStr">
        <is>
          <t>Сн</t>
        </is>
      </c>
      <c r="B7" t="n">
        <v>17</v>
      </c>
      <c r="C7" t="n">
        <v>6</v>
      </c>
      <c r="D7" s="3">
        <f>B7-C7</f>
        <v/>
      </c>
      <c r="K7" s="4" t="n">
        <v>6</v>
      </c>
      <c r="L7" s="4" t="inlineStr">
        <is>
          <t>күрделі: айырмашылық</t>
        </is>
      </c>
      <c r="M7" s="4" t="inlineStr">
        <is>
          <t>D2:D8 (жауап D8 ұяшығында)</t>
        </is>
      </c>
      <c r="N7" s="4" t="inlineStr">
        <is>
          <t>=B2-C2 және төмен созып көшіру</t>
        </is>
      </c>
      <c r="O7" s="4" t="n">
        <v>14</v>
      </c>
    </row>
    <row r="8">
      <c r="A8" t="inlineStr">
        <is>
          <t>Жс</t>
        </is>
      </c>
      <c r="B8" t="n">
        <v>13</v>
      </c>
      <c r="C8" t="n">
        <v>-1</v>
      </c>
      <c r="D8" s="3">
        <f>B8-C8</f>
        <v/>
      </c>
    </row>
    <row r="10">
      <c r="A10" t="inlineStr">
        <is>
          <t>Максимум</t>
        </is>
      </c>
      <c r="B10" s="3">
        <f>MAX(B2:B8)</f>
        <v/>
      </c>
      <c r="C10" s="3">
        <f>MAX(C2:C8)</f>
        <v/>
      </c>
    </row>
    <row r="11">
      <c r="A11" t="inlineStr">
        <is>
          <t>Минимум</t>
        </is>
      </c>
      <c r="C11" s="3">
        <f>MIN(C2:C8)</f>
        <v/>
      </c>
    </row>
    <row r="12">
      <c r="A12" t="inlineStr">
        <is>
          <t>Орташа</t>
        </is>
      </c>
      <c r="B12" s="3">
        <f>AVERAGE(B2:B8)</f>
        <v/>
      </c>
    </row>
    <row r="13">
      <c r="A13" t="inlineStr">
        <is>
          <t>Құлаш</t>
        </is>
      </c>
      <c r="B13" s="3">
        <f>MAX(B2:B8)-MIN(B2:B8)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Оқушы</t>
        </is>
      </c>
      <c r="B1" s="1" t="inlineStr">
        <is>
          <t>60 м жүгіру, с</t>
        </is>
      </c>
      <c r="C1" s="1" t="inlineStr">
        <is>
          <t>Секіру, см</t>
        </is>
      </c>
      <c r="D1" s="1" t="inlineStr">
        <is>
          <t>Жерден итерілу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Айдана</t>
        </is>
      </c>
      <c r="B2" t="n">
        <v>9.800000000000001</v>
      </c>
      <c r="C2" t="n">
        <v>155</v>
      </c>
      <c r="D2" t="n">
        <v>12</v>
      </c>
      <c r="K2" s="4" t="n">
        <v>1</v>
      </c>
      <c r="L2" s="4" t="inlineStr">
        <is>
          <t>жүгірудегі үздік</t>
        </is>
      </c>
      <c r="M2" s="4" t="inlineStr">
        <is>
          <t>B9</t>
        </is>
      </c>
      <c r="N2" s="4" t="inlineStr">
        <is>
          <t>=МИН(B2:B7)</t>
        </is>
      </c>
      <c r="O2" s="4" t="n">
        <v>8.9</v>
      </c>
    </row>
    <row r="3">
      <c r="A3" t="inlineStr">
        <is>
          <t>Тимур</t>
        </is>
      </c>
      <c r="B3" t="n">
        <v>10.4</v>
      </c>
      <c r="C3" t="n">
        <v>170</v>
      </c>
      <c r="D3" t="n">
        <v>25</v>
      </c>
      <c r="K3" s="4" t="n">
        <v>2</v>
      </c>
      <c r="L3" s="4" t="inlineStr">
        <is>
          <t>ең жақсы секіру</t>
        </is>
      </c>
      <c r="M3" s="4" t="inlineStr">
        <is>
          <t>C9</t>
        </is>
      </c>
      <c r="N3" s="4" t="inlineStr">
        <is>
          <t>=МАКС(C2:C7)</t>
        </is>
      </c>
      <c r="O3" s="4" t="n">
        <v>182</v>
      </c>
    </row>
    <row r="4">
      <c r="A4" t="inlineStr">
        <is>
          <t>Дана</t>
        </is>
      </c>
      <c r="B4" t="n">
        <v>9.199999999999999</v>
      </c>
      <c r="C4" t="n">
        <v>140</v>
      </c>
      <c r="D4" t="n">
        <v>18</v>
      </c>
      <c r="K4" s="4" t="n">
        <v>3</v>
      </c>
      <c r="L4" s="4" t="inlineStr">
        <is>
          <t>ең жақсы итерілу</t>
        </is>
      </c>
      <c r="M4" s="4" t="inlineStr">
        <is>
          <t>D9</t>
        </is>
      </c>
      <c r="N4" s="4" t="inlineStr">
        <is>
          <t>=МАКС(D2:D7)</t>
        </is>
      </c>
      <c r="O4" s="4" t="n">
        <v>30</v>
      </c>
    </row>
    <row r="5">
      <c r="A5" t="inlineStr">
        <is>
          <t>Арман</t>
        </is>
      </c>
      <c r="B5" t="n">
        <v>8.9</v>
      </c>
      <c r="C5" t="n">
        <v>182</v>
      </c>
      <c r="D5" t="n">
        <v>30</v>
      </c>
      <c r="K5" s="4" t="n">
        <v>4</v>
      </c>
      <c r="L5" s="4" t="inlineStr">
        <is>
          <t>жүгірудегі ең нашар</t>
        </is>
      </c>
      <c r="M5" s="4" t="inlineStr">
        <is>
          <t>B10</t>
        </is>
      </c>
      <c r="N5" s="4" t="inlineStr">
        <is>
          <t>=МАКС(B2:B7)</t>
        </is>
      </c>
      <c r="O5" s="4" t="n">
        <v>11</v>
      </c>
    </row>
    <row r="6">
      <c r="A6" t="inlineStr">
        <is>
          <t>Мадина</t>
        </is>
      </c>
      <c r="B6" t="n">
        <v>11</v>
      </c>
      <c r="C6" t="n">
        <v>130</v>
      </c>
      <c r="D6" t="n">
        <v>8</v>
      </c>
      <c r="K6" s="4" t="n">
        <v>5</v>
      </c>
      <c r="L6" s="4" t="inlineStr">
        <is>
          <t>орташа секіру</t>
        </is>
      </c>
      <c r="M6" s="4" t="inlineStr">
        <is>
          <t>C11</t>
        </is>
      </c>
      <c r="N6" s="4" t="inlineStr">
        <is>
          <t>=СРЗНАЧ(C2:C7)</t>
        </is>
      </c>
      <c r="O6" s="4" t="n">
        <v>157</v>
      </c>
    </row>
    <row r="7">
      <c r="A7" t="inlineStr">
        <is>
          <t>Ерлан</t>
        </is>
      </c>
      <c r="B7" t="n">
        <v>9.5</v>
      </c>
      <c r="C7" t="n">
        <v>165</v>
      </c>
      <c r="D7" t="n">
        <v>20</v>
      </c>
      <c r="K7" s="4" t="n">
        <v>6</v>
      </c>
      <c r="L7" s="4" t="inlineStr">
        <is>
          <t>күрделі: үздікке дейін</t>
        </is>
      </c>
      <c r="M7" s="4" t="inlineStr">
        <is>
          <t>C12</t>
        </is>
      </c>
      <c r="N7" s="4" t="inlineStr">
        <is>
          <t>=МАКС(C2:C7)-C6</t>
        </is>
      </c>
      <c r="O7" s="4" t="n">
        <v>52</v>
      </c>
    </row>
    <row r="9">
      <c r="A9" t="inlineStr">
        <is>
          <t>Үздік</t>
        </is>
      </c>
      <c r="B9" s="3">
        <f>MIN(B2:B7)</f>
        <v/>
      </c>
      <c r="C9" s="3">
        <f>MAX(C2:C7)</f>
        <v/>
      </c>
      <c r="D9" s="3">
        <f>MAX(D2:D7)</f>
        <v/>
      </c>
    </row>
    <row r="10">
      <c r="A10" t="inlineStr">
        <is>
          <t>Ең нашар</t>
        </is>
      </c>
      <c r="B10" s="3">
        <f>MAX(B2:B7)</f>
        <v/>
      </c>
    </row>
    <row r="11">
      <c r="A11" t="inlineStr">
        <is>
          <t>Орташа</t>
        </is>
      </c>
      <c r="C11" s="3">
        <f>AVERAGE(C2:C7)</f>
        <v/>
      </c>
    </row>
    <row r="12">
      <c r="A12" t="inlineStr">
        <is>
          <t>Мадинаға үздікке дейін</t>
        </is>
      </c>
      <c r="C12" s="3">
        <f>MAX(C2:C7)-C6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Тауар</t>
        </is>
      </c>
      <c r="B1" s="1" t="inlineStr">
        <is>
          <t>1-дүкен</t>
        </is>
      </c>
      <c r="C1" s="1" t="inlineStr">
        <is>
          <t>2-дүкен</t>
        </is>
      </c>
      <c r="D1" s="1" t="inlineStr">
        <is>
          <t>3-дүкен</t>
        </is>
      </c>
      <c r="E1" s="1" t="inlineStr">
        <is>
          <t>Ең арзаны</t>
        </is>
      </c>
      <c r="F1" s="1" t="inlineStr">
        <is>
          <t>Ең қымбаты</t>
        </is>
      </c>
      <c r="G1" s="1" t="inlineStr">
        <is>
          <t>Орташа баға</t>
        </is>
      </c>
      <c r="H1" s="1" t="inlineStr">
        <is>
          <t>Үнем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Дәптер</t>
        </is>
      </c>
      <c r="B2" t="n">
        <v>150</v>
      </c>
      <c r="C2" t="n">
        <v>140</v>
      </c>
      <c r="D2" t="n">
        <v>165</v>
      </c>
      <c r="E2" s="3">
        <f>MIN(B2:D2)</f>
        <v/>
      </c>
      <c r="F2" s="3">
        <f>MAX(B2:D2)</f>
        <v/>
      </c>
      <c r="G2" s="3">
        <f>AVERAGE(B2:D2)</f>
        <v/>
      </c>
      <c r="H2" s="3">
        <f>F2-E2</f>
        <v/>
      </c>
      <c r="K2" s="4" t="n">
        <v>1</v>
      </c>
      <c r="L2" s="4" t="inlineStr">
        <is>
          <t>Жол бойынша МИН</t>
        </is>
      </c>
      <c r="M2" s="4" t="inlineStr">
        <is>
          <t>E2:E6 (жауап E4 ұяшығында)</t>
        </is>
      </c>
      <c r="N2" s="4" t="inlineStr">
        <is>
          <t>=МИН(B2:D2) және төмен созып көшіру</t>
        </is>
      </c>
      <c r="O2" s="4" t="n">
        <v>8900</v>
      </c>
    </row>
    <row r="3">
      <c r="A3" t="inlineStr">
        <is>
          <t>Қалам</t>
        </is>
      </c>
      <c r="B3" t="n">
        <v>120</v>
      </c>
      <c r="C3" t="n">
        <v>130</v>
      </c>
      <c r="D3" t="n">
        <v>110</v>
      </c>
      <c r="E3" s="3">
        <f>MIN(B3:D3)</f>
        <v/>
      </c>
      <c r="F3" s="3">
        <f>MAX(B3:D3)</f>
        <v/>
      </c>
      <c r="G3" s="3">
        <f>AVERAGE(B3:D3)</f>
        <v/>
      </c>
      <c r="H3" s="3">
        <f>F3-E3</f>
        <v/>
      </c>
      <c r="K3" s="4" t="n">
        <v>2</v>
      </c>
      <c r="L3" s="4" t="inlineStr">
        <is>
          <t>Жол бойынша МАКС</t>
        </is>
      </c>
      <c r="M3" s="4" t="inlineStr">
        <is>
          <t>F2:F6 (жауап F4 ұяшығында)</t>
        </is>
      </c>
      <c r="N3" s="4" t="inlineStr">
        <is>
          <t>=МАКС(B2:D2) және төмен созып көшіру</t>
        </is>
      </c>
      <c r="O3" s="4" t="n">
        <v>10200</v>
      </c>
    </row>
    <row r="4">
      <c r="A4" t="inlineStr">
        <is>
          <t>Рюкзак</t>
        </is>
      </c>
      <c r="B4" t="n">
        <v>9500</v>
      </c>
      <c r="C4" t="n">
        <v>8900</v>
      </c>
      <c r="D4" t="n">
        <v>10200</v>
      </c>
      <c r="E4" s="3">
        <f>MIN(B4:D4)</f>
        <v/>
      </c>
      <c r="F4" s="3">
        <f>MAX(B4:D4)</f>
        <v/>
      </c>
      <c r="G4" s="3">
        <f>AVERAGE(B4:D4)</f>
        <v/>
      </c>
      <c r="H4" s="3">
        <f>F4-E4</f>
        <v/>
      </c>
      <c r="K4" s="4" t="n">
        <v>3</v>
      </c>
      <c r="L4" s="4" t="inlineStr">
        <is>
          <t>Жол бойынша СРЗНАЧ</t>
        </is>
      </c>
      <c r="M4" s="4" t="inlineStr">
        <is>
          <t>G2:G6 (жауап G5 ұяшығында)</t>
        </is>
      </c>
      <c r="N4" s="4" t="inlineStr">
        <is>
          <t>=СРЗНАЧ(B2:D2) және төмен созып көшіру</t>
        </is>
      </c>
      <c r="O4" s="4" t="n">
        <v>1516.67</v>
      </c>
    </row>
    <row r="5">
      <c r="A5" t="inlineStr">
        <is>
          <t>Қаламсауыт</t>
        </is>
      </c>
      <c r="B5" t="n">
        <v>1500</v>
      </c>
      <c r="C5" t="n">
        <v>1400</v>
      </c>
      <c r="D5" t="n">
        <v>1650</v>
      </c>
      <c r="E5" s="3">
        <f>MIN(B5:D5)</f>
        <v/>
      </c>
      <c r="F5" s="3">
        <f>MAX(B5:D5)</f>
        <v/>
      </c>
      <c r="G5" s="3">
        <f>AVERAGE(B5:D5)</f>
        <v/>
      </c>
      <c r="H5" s="3">
        <f>F5-E5</f>
        <v/>
      </c>
      <c r="K5" s="4" t="n">
        <v>4</v>
      </c>
      <c r="L5" s="4" t="inlineStr">
        <is>
          <t>үнем</t>
        </is>
      </c>
      <c r="M5" s="4" t="inlineStr">
        <is>
          <t>H2:H6 (жауап H4 ұяшығында)</t>
        </is>
      </c>
      <c r="N5" s="4" t="inlineStr">
        <is>
          <t>=F2-E2 және төмен созып көшіру</t>
        </is>
      </c>
      <c r="O5" s="4" t="n">
        <v>1300</v>
      </c>
    </row>
    <row r="6">
      <c r="A6" t="inlineStr">
        <is>
          <t>Бояулар</t>
        </is>
      </c>
      <c r="B6" t="n">
        <v>900</v>
      </c>
      <c r="C6" t="n">
        <v>850</v>
      </c>
      <c r="D6" t="n">
        <v>950</v>
      </c>
      <c r="E6" s="3">
        <f>MIN(B6:D6)</f>
        <v/>
      </c>
      <c r="F6" s="3">
        <f>MAX(B6:D6)</f>
        <v/>
      </c>
      <c r="G6" s="3">
        <f>AVERAGE(B6:D6)</f>
        <v/>
      </c>
      <c r="H6" s="3">
        <f>F6-E6</f>
        <v/>
      </c>
      <c r="K6" s="4" t="n">
        <v>5</v>
      </c>
      <c r="L6" s="4" t="inlineStr">
        <is>
          <t>СУММ</t>
        </is>
      </c>
      <c r="M6" s="4" t="inlineStr">
        <is>
          <t>E7</t>
        </is>
      </c>
      <c r="N6" s="4" t="inlineStr">
        <is>
          <t>=СУММ(E2:E6)</t>
        </is>
      </c>
      <c r="O6" s="4" t="n">
        <v>11400</v>
      </c>
    </row>
    <row r="7">
      <c r="A7" t="inlineStr">
        <is>
          <t>Барлығы</t>
        </is>
      </c>
      <c r="E7" s="3">
        <f>SUM(E2:E6)</f>
        <v/>
      </c>
      <c r="K7" s="4" t="n">
        <v>6</v>
      </c>
      <c r="L7" s="4" t="inlineStr">
        <is>
          <t>күрделі: баға өсті</t>
        </is>
      </c>
      <c r="M7" s="4" t="inlineStr">
        <is>
          <t>E4</t>
        </is>
      </c>
      <c r="N7" s="4" t="inlineStr">
        <is>
          <t>C4 мәнін 9800 деп өзгерт</t>
        </is>
      </c>
      <c r="O7" s="4" t="n">
        <v>9500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Қатысушы</t>
        </is>
      </c>
      <c r="B1" s="1" t="inlineStr">
        <is>
          <t>1-тур</t>
        </is>
      </c>
      <c r="C1" s="1" t="inlineStr">
        <is>
          <t>2-тур</t>
        </is>
      </c>
      <c r="D1" s="1" t="inlineStr">
        <is>
          <t>3-тур</t>
        </is>
      </c>
      <c r="E1" s="1" t="inlineStr">
        <is>
          <t>Сомасы</t>
        </is>
      </c>
      <c r="F1" s="1" t="inlineStr">
        <is>
          <t>Орташа</t>
        </is>
      </c>
      <c r="G1" s="1" t="inlineStr">
        <is>
          <t>Ең жақсы тур</t>
        </is>
      </c>
      <c r="H1" s="1" t="inlineStr">
        <is>
          <t>Қорытынды</t>
        </is>
      </c>
      <c r="K1" s="2" t="inlineStr">
        <is>
          <t>Қадам</t>
        </is>
      </c>
      <c r="L1" s="2" t="inlineStr">
        <is>
          <t>Қадам түрі</t>
        </is>
      </c>
      <c r="M1" s="2" t="inlineStr">
        <is>
          <t>Қайда</t>
        </is>
      </c>
      <c r="N1" s="2" t="inlineStr">
        <is>
          <t>Формула (орыс тіліндегі Excel)</t>
        </is>
      </c>
      <c r="O1" s="2" t="inlineStr">
        <is>
          <t>Жауап</t>
        </is>
      </c>
    </row>
    <row r="2">
      <c r="A2" t="inlineStr">
        <is>
          <t>Айдана</t>
        </is>
      </c>
      <c r="B2" t="n">
        <v>8</v>
      </c>
      <c r="C2" t="n">
        <v>9</v>
      </c>
      <c r="D2" t="n">
        <v>10</v>
      </c>
      <c r="E2" s="3">
        <f>SUM(B2:D2)</f>
        <v/>
      </c>
      <c r="F2" s="3">
        <f>AVERAGE(B2:D2)</f>
        <v/>
      </c>
      <c r="G2" s="3">
        <f>MAX(B2:D2)</f>
        <v/>
      </c>
      <c r="K2" s="4" t="n">
        <v>1</v>
      </c>
      <c r="L2" s="4" t="inlineStr">
        <is>
          <t>СУММ</t>
        </is>
      </c>
      <c r="M2" s="4" t="inlineStr">
        <is>
          <t>E2:E7 (жауап E6 ұяшығында)</t>
        </is>
      </c>
      <c r="N2" s="4" t="inlineStr">
        <is>
          <t>=СУММ(B2:D2) және төмен созып көшіру</t>
        </is>
      </c>
      <c r="O2" s="4" t="n">
        <v>29</v>
      </c>
    </row>
    <row r="3">
      <c r="A3" t="inlineStr">
        <is>
          <t>Тимур</t>
        </is>
      </c>
      <c r="B3" t="n">
        <v>6</v>
      </c>
      <c r="C3" t="n">
        <v>7</v>
      </c>
      <c r="D3" t="n">
        <v>5</v>
      </c>
      <c r="E3" s="3">
        <f>SUM(B3:D3)</f>
        <v/>
      </c>
      <c r="F3" s="3">
        <f>AVERAGE(B3:D3)</f>
        <v/>
      </c>
      <c r="G3" s="3">
        <f>MAX(B3:D3)</f>
        <v/>
      </c>
      <c r="K3" s="4" t="n">
        <v>2</v>
      </c>
      <c r="L3" s="4" t="inlineStr">
        <is>
          <t>СРЗНАЧ</t>
        </is>
      </c>
      <c r="M3" s="4" t="inlineStr">
        <is>
          <t>F2:F7 (жауап F3 ұяшығында)</t>
        </is>
      </c>
      <c r="N3" s="4" t="inlineStr">
        <is>
          <t>=СРЗНАЧ(B2:D2) және төмен созып көшіру</t>
        </is>
      </c>
      <c r="O3" s="4" t="n">
        <v>6</v>
      </c>
    </row>
    <row r="4">
      <c r="A4" t="inlineStr">
        <is>
          <t>Дана</t>
        </is>
      </c>
      <c r="B4" t="n">
        <v>10</v>
      </c>
      <c r="C4" t="n">
        <v>8</v>
      </c>
      <c r="D4" t="n">
        <v>9</v>
      </c>
      <c r="E4" s="3">
        <f>SUM(B4:D4)</f>
        <v/>
      </c>
      <c r="F4" s="3">
        <f>AVERAGE(B4:D4)</f>
        <v/>
      </c>
      <c r="G4" s="3">
        <f>MAX(B4:D4)</f>
        <v/>
      </c>
      <c r="K4" s="4" t="n">
        <v>3</v>
      </c>
      <c r="L4" s="4" t="inlineStr">
        <is>
          <t>МАКС</t>
        </is>
      </c>
      <c r="M4" s="4" t="inlineStr">
        <is>
          <t>G2:G7 (жауап G5 ұяшығында)</t>
        </is>
      </c>
      <c r="N4" s="4" t="inlineStr">
        <is>
          <t>=МАКС(B2:D2) және төмен созып көшіру</t>
        </is>
      </c>
      <c r="O4" s="4" t="n">
        <v>7</v>
      </c>
    </row>
    <row r="5">
      <c r="A5" t="inlineStr">
        <is>
          <t>Арман</t>
        </is>
      </c>
      <c r="B5" t="n">
        <v>4</v>
      </c>
      <c r="C5" t="n">
        <v>6</v>
      </c>
      <c r="D5" t="n">
        <v>7</v>
      </c>
      <c r="E5" s="3">
        <f>SUM(B5:D5)</f>
        <v/>
      </c>
      <c r="F5" s="3">
        <f>AVERAGE(B5:D5)</f>
        <v/>
      </c>
      <c r="G5" s="3">
        <f>MAX(B5:D5)</f>
        <v/>
      </c>
      <c r="K5" s="4" t="n">
        <v>4</v>
      </c>
      <c r="L5" s="4" t="inlineStr">
        <is>
          <t>ең жақсы сома</t>
        </is>
      </c>
      <c r="M5" s="4" t="inlineStr">
        <is>
          <t>E8</t>
        </is>
      </c>
      <c r="N5" s="4" t="inlineStr">
        <is>
          <t>=МАКС(E2:E7)</t>
        </is>
      </c>
      <c r="O5" s="4" t="n">
        <v>29</v>
      </c>
    </row>
    <row r="6">
      <c r="A6" t="inlineStr">
        <is>
          <t>Мадина</t>
        </is>
      </c>
      <c r="B6" t="n">
        <v>9</v>
      </c>
      <c r="C6" t="n">
        <v>10</v>
      </c>
      <c r="D6" t="n">
        <v>10</v>
      </c>
      <c r="E6" s="3">
        <f>SUM(B6:D6)</f>
        <v/>
      </c>
      <c r="F6" s="3">
        <f>AVERAGE(B6:D6)</f>
        <v/>
      </c>
      <c r="G6" s="3">
        <f>MAX(B6:D6)</f>
        <v/>
      </c>
      <c r="H6" s="3">
        <f>IF(E6&gt;E9,"жүлдегер","қатысушы")</f>
        <v/>
      </c>
      <c r="K6" s="4" t="n">
        <v>5</v>
      </c>
      <c r="L6" s="4" t="inlineStr">
        <is>
          <t>орташа сома</t>
        </is>
      </c>
      <c r="M6" s="4" t="inlineStr">
        <is>
          <t>E9</t>
        </is>
      </c>
      <c r="N6" s="4" t="inlineStr">
        <is>
          <t>=СРЗНАЧ(E2:E7)</t>
        </is>
      </c>
      <c r="O6" s="4" t="n">
        <v>23</v>
      </c>
    </row>
    <row r="7">
      <c r="A7" t="inlineStr">
        <is>
          <t>Ерлан</t>
        </is>
      </c>
      <c r="B7" t="n">
        <v>7</v>
      </c>
      <c r="C7" t="n">
        <v>5</v>
      </c>
      <c r="D7" t="n">
        <v>8</v>
      </c>
      <c r="E7" s="3">
        <f>SUM(B7:D7)</f>
        <v/>
      </c>
      <c r="F7" s="3">
        <f>AVERAGE(B7:D7)</f>
        <v/>
      </c>
      <c r="G7" s="3">
        <f>MAX(B7:D7)</f>
        <v/>
      </c>
      <c r="K7" s="4" t="n">
        <v>6</v>
      </c>
      <c r="L7" s="4" t="inlineStr">
        <is>
          <t>күрделі: ЕСЛИ</t>
        </is>
      </c>
      <c r="M7" s="4" t="inlineStr">
        <is>
          <t>H6</t>
        </is>
      </c>
      <c r="N7" s="4" t="inlineStr">
        <is>
          <t>=ЕСЛИ(E6&gt;E9;"жүлдегер";"қатысушы")</t>
        </is>
      </c>
      <c r="O7" s="4" t="inlineStr">
        <is>
          <t>жүлдегер</t>
        </is>
      </c>
    </row>
    <row r="8">
      <c r="A8" t="inlineStr">
        <is>
          <t>Ең жақсы сома</t>
        </is>
      </c>
      <c r="E8" s="3">
        <f>MAX(E2:E7)</f>
        <v/>
      </c>
    </row>
    <row r="9">
      <c r="A9" t="inlineStr">
        <is>
          <t>Орташа сома</t>
        </is>
      </c>
      <c r="E9" s="3">
        <f>AVERAGE(E2:E7)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2026-10-24T17:37:15Z</dcterms:created>
  <dcterms:modified xmlns:dcterms="http://purl.org/dc/terms/" xmlns:xsi="http://www.w3.org/2001/XMLSchema-instance" xsi:type="dcterms:W3CDTF">2026-10-24T17:37:15Z</dcterms:modified>
</cp:coreProperties>
</file>