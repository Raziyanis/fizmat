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ло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Итог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 wrapText="1"/>
      <protection locked="1" hidden="1"/>
    </xf>
    <xf numFmtId="0" fontId="4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2">
    <dxf>
      <fill>
        <patternFill patternType="solid">
          <fgColor rgb="00D9F2E3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Самопроверка: статистические функции в Excel</t>
        </is>
      </c>
    </row>
    <row r="2">
      <c r="A2" s="2" t="inlineStr"/>
    </row>
    <row r="3">
      <c r="A3" s="3" t="inlineStr">
        <is>
          <t>Класс:</t>
        </is>
      </c>
      <c r="B3" s="4" t="n"/>
    </row>
    <row r="4">
      <c r="A4" s="3" t="inlineStr">
        <is>
          <t>Фамилия и имя:</t>
        </is>
      </c>
      <c r="B4" s="4" t="n"/>
    </row>
    <row r="5">
      <c r="A5" s="2" t="inlineStr"/>
    </row>
    <row r="6">
      <c r="A6" s="3" t="inlineStr">
        <is>
          <t>Как работать</t>
        </is>
      </c>
    </row>
    <row r="7">
      <c r="A7" s="2" t="inlineStr">
        <is>
          <t>1. Открой лист сценария (S1–S5). Таблица с данными уже заполнена.</t>
        </is>
      </c>
    </row>
    <row r="8">
      <c r="A8" s="2" t="inlineStr">
        <is>
          <t>2. Справа — шаги. Пиши формулу в жёлтую ячейку, которая указана в шаге.</t>
        </is>
      </c>
    </row>
    <row r="9">
      <c r="A9" s="2" t="inlineStr">
        <is>
          <t>3. «Протяни вниз» — потяни формулу за маленький квадрат в правом нижнем углу ячейки.</t>
        </is>
      </c>
    </row>
    <row r="10">
      <c r="A10" s="2" t="inlineStr">
        <is>
          <t>4. В столбце «Проверка» Excel сразу покажет: ✓ верно — или что исправить.</t>
        </is>
      </c>
    </row>
    <row r="11">
      <c r="A11" s="2" t="inlineStr">
        <is>
          <t>5. Шаги «измени…» — поменяй данные в таблице, формулы не трогай.</t>
        </is>
      </c>
    </row>
    <row r="12">
      <c r="A12" s="2" t="inlineStr">
        <is>
          <t>6. Общий счёт — на листе «Итог».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Ученик</t>
        </is>
      </c>
      <c r="B1" s="5" t="inlineStr">
        <is>
          <t>СОР 1</t>
        </is>
      </c>
      <c r="C1" s="5" t="inlineStr">
        <is>
          <t>СОР 2</t>
        </is>
      </c>
      <c r="D1" s="5" t="inlineStr">
        <is>
          <t>СОР 3</t>
        </is>
      </c>
      <c r="E1" s="5" t="inlineStr">
        <is>
          <t>СОЧ</t>
        </is>
      </c>
      <c r="F1" s="5" t="inlineStr">
        <is>
          <t>Средний</t>
        </is>
      </c>
      <c r="G1" s="5" t="inlineStr">
        <is>
          <t>Вручную</t>
        </is>
      </c>
      <c r="H1" s="5" t="inlineStr">
        <is>
          <t>Отметка</t>
        </is>
      </c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5</v>
      </c>
      <c r="C2" s="6" t="n">
        <v>4</v>
      </c>
      <c r="D2" s="6" t="n">
        <v>5</v>
      </c>
      <c r="E2" s="6" t="n">
        <v>5</v>
      </c>
      <c r="F2" s="4" t="n"/>
      <c r="G2" s="4" t="n"/>
      <c r="H2" s="4" t="n"/>
      <c r="I2" s="6" t="n"/>
      <c r="K2" s="8" t="n">
        <v>1</v>
      </c>
      <c r="L2" s="8" t="inlineStr">
        <is>
          <t>среднее по строке</t>
        </is>
      </c>
      <c r="M2" s="8" t="inlineStr">
        <is>
          <t>В F2 найди средний балл Айданы за четыре работы и протяни формулу до F7. Какой средний балл у Армана (F5)?</t>
        </is>
      </c>
      <c r="N2" s="8" t="inlineStr">
        <is>
          <t>F2 → протяни до F7; ответ в F5</t>
        </is>
      </c>
      <c r="O2" s="9">
        <f>IF(ISBLANK(F2),"—",IF(OR(NOT(_xlfn.ISFORMULA(F2)),NOT(_xlfn.ISFORMULA(F3)),NOT(_xlfn.ISFORMULA(F4)),NOT(_xlfn.ISFORMULA(F5)),NOT(_xlfn.ISFORMULA(F6)),NOT(_xlfn.ISFORMULA(F7))),"✗ нужна формула, а не готовый ответ (протяни формулу вниз)",IF(NOT(OR(ISNUMBER(SEARCH("СРЗНАЧ(",IFERROR(_xlfn.FORMULATEXT(F2),""))),ISNUMBER(SEARCH("AVERAGE(",IFERROR(_xlfn.FORMULATEXT(F2),""))))),"✗ нужна функция СРЗНАЧ",IF(NOT(AND(IFERROR(ABS(F2-(AVERAGE(B2:E2)))&lt;=0.01*MAX(1,ABS(AVERAGE(B2:E2))),FALSE),IFERROR(ABS(F3-(AVERAGE(B3:E3)))&lt;=0.01*MAX(1,ABS(AVERAGE(B3:E3))),FALSE),IFERROR(ABS(F4-(AVERAGE(B4:E4)))&lt;=0.01*MAX(1,ABS(AVERAGE(B4:E4))),FALSE),IFERROR(ABS(F5-(AVERAGE(B5:E5)))&lt;=0.01*MAX(1,ABS(AVERAGE(B5:E5))),FALSE),IFERROR(ABS(F6-(AVERAGE(B6:E6)))&lt;=0.01*MAX(1,ABS(AVERAGE(B6:E6))),FALSE),IFERROR(ABS(F7-(AVERAGE(B7:E7)))&lt;=0.01*MAX(1,ABS(AVERAGE(B7:E7))),FALSE))),"✗ ответ неверный — проверь формулу и диапазон","✓ верно"))))</f>
        <v/>
      </c>
    </row>
    <row r="3">
      <c r="A3" s="6" t="inlineStr">
        <is>
          <t>Тимур</t>
        </is>
      </c>
      <c r="B3" s="6" t="n">
        <v>3</v>
      </c>
      <c r="C3" s="6" t="n">
        <v>4</v>
      </c>
      <c r="D3" s="6" t="n">
        <v>3</v>
      </c>
      <c r="E3" s="6" t="n">
        <v>4</v>
      </c>
      <c r="F3" s="4" t="n"/>
      <c r="G3" s="6" t="n"/>
      <c r="H3" s="4" t="n"/>
      <c r="I3" s="6" t="n"/>
      <c r="K3" s="8" t="n">
        <v>2</v>
      </c>
      <c r="L3" s="8" t="inlineStr">
        <is>
          <t>среднее по столбцу</t>
        </is>
      </c>
      <c r="M3" s="8" t="inlineStr">
        <is>
          <t>Какая средняя оценка класса за СОР 1? Запиши в B8. Если получилось много знаков после запятой — нажми «Уменьшить разрядность».</t>
        </is>
      </c>
      <c r="N3" s="8" t="inlineStr">
        <is>
          <t>B8</t>
        </is>
      </c>
      <c r="O3" s="9">
        <f>IF(ISBLANK(B8),"—",IF(OR(NOT(_xlfn.ISFORMULA(B8))),"✗ нужна формула, а не готовый ответ",IF(NOT(OR(ISNUMBER(SEARCH("СРЗНАЧ(",IFERROR(_xlfn.FORMULATEXT(B8),""))),ISNUMBER(SEARCH("AVERAGE(",IFERROR(_xlfn.FORMULATEXT(B8),""))))),"✗ нужна функция СРЗНАЧ",IF(NOT(AND(IFERROR(ABS(B8-(AVERAGE(B2:B7)))&lt;=0.01*MAX(1,ABS(AVERAGE(B2:B7))),FALSE))),"✗ ответ неверный — проверь формулу и диапазон","✓ верно"))))</f>
        <v/>
      </c>
    </row>
    <row r="4">
      <c r="A4" s="6" t="inlineStr">
        <is>
          <t>Дана</t>
        </is>
      </c>
      <c r="B4" s="6" t="n">
        <v>5</v>
      </c>
      <c r="C4" s="6" t="n">
        <v>5</v>
      </c>
      <c r="D4" s="6" t="n">
        <v>4</v>
      </c>
      <c r="E4" s="6" t="n">
        <v>5</v>
      </c>
      <c r="F4" s="4" t="n"/>
      <c r="G4" s="6" t="n"/>
      <c r="H4" s="4" t="n"/>
      <c r="I4" s="6" t="n"/>
      <c r="K4" s="8" t="n">
        <v>3</v>
      </c>
      <c r="L4" s="8" t="inlineStr">
        <is>
          <t>вручную</t>
        </is>
      </c>
      <c r="M4" s="8" t="inlineStr">
        <is>
          <t>Проверь функцию: в G2 посчитай среднее Айданы «вручную» — сумму раздели на количество оценок. Совпало с F2?</t>
        </is>
      </c>
      <c r="N4" s="8" t="inlineStr">
        <is>
          <t>G2</t>
        </is>
      </c>
      <c r="O4" s="9">
        <f>IF(ISBLANK(G2),"—",IF(OR(NOT(_xlfn.ISFORMULA(G2))),"✗ нужна формула, а не готовый ответ",IF(NOT(OR(ISNUMBER(SEARCH("СУММ(",IFERROR(_xlfn.FORMULATEXT(G2),""))),ISNUMBER(SEARCH("SUM(",IFERROR(_xlfn.FORMULATEXT(G2),""))))),"✗ нужна функция СУММ",IF(NOT(AND(IFERROR(ABS(G2-(SUM(B2:E2)/4))&lt;=0.01*MAX(1,ABS(SUM(B2:E2)/4)),FALSE))),"✗ ответ неверный — проверь формулу и диапазон","✓ верно"))))</f>
        <v/>
      </c>
    </row>
    <row r="5">
      <c r="A5" s="6" t="inlineStr">
        <is>
          <t>Арман</t>
        </is>
      </c>
      <c r="B5" s="6" t="n">
        <v>2</v>
      </c>
      <c r="C5" s="6" t="n">
        <v>3</v>
      </c>
      <c r="D5" s="6" t="n">
        <v>4</v>
      </c>
      <c r="E5" s="6" t="n">
        <v>3</v>
      </c>
      <c r="F5" s="4" t="n"/>
      <c r="G5" s="6" t="n"/>
      <c r="H5" s="4" t="n"/>
      <c r="I5" s="6" t="n"/>
      <c r="K5" s="8" t="n">
        <v>4</v>
      </c>
      <c r="L5" s="8" t="inlineStr">
        <is>
          <t>отметка</t>
        </is>
      </c>
      <c r="M5" s="8" t="inlineStr">
        <is>
          <t>В H2: если средний балл 4,5 или выше — «отлично», иначе оставь ячейку пустой (""). Протяни до H7. Что у Айданы (H2)?</t>
        </is>
      </c>
      <c r="N5" s="8" t="inlineStr">
        <is>
          <t>H2 → протяни до H7; ответ в H2</t>
        </is>
      </c>
      <c r="O5" s="9">
        <f>IF(ISBLANK(H2),"—",IF(OR(NOT(_xlfn.ISFORMULA(H2)),NOT(_xlfn.ISFORMULA(H3)),NOT(_xlfn.ISFORMULA(H4)),NOT(_xlfn.ISFORMULA(H5)),NOT(_xlfn.ISFORMULA(H6)),NOT(_xlfn.ISFORMULA(H7))),"✗ нужна формула, а не готовый ответ (протяни формулу вниз)",IF(NOT(OR(ISNUMBER(SEARCH("ЕСЛИ(",IFERROR(_xlfn.FORMULATEXT(H2),""))),ISNUMBER(SEARCH("IF(",IFERROR(_xlfn.FORMULATEXT(H2),""))))),"✗ нужна функция ЕСЛИ",IF(NOT(AND(IFERROR(SUBSTITUTE(LOWER(H2&amp;""),"ё","е")=SUBSTITUTE(LOWER((IF(F2&gt;=4.5,"отлично",""))&amp;""),"ё","е"),FALSE),IFERROR(SUBSTITUTE(LOWER(H3&amp;""),"ё","е")=SUBSTITUTE(LOWER((IF(F3&gt;=4.5,"отлично",""))&amp;""),"ё","е"),FALSE),IFERROR(SUBSTITUTE(LOWER(H4&amp;""),"ё","е")=SUBSTITUTE(LOWER((IF(F4&gt;=4.5,"отлично",""))&amp;""),"ё","е"),FALSE),IFERROR(SUBSTITUTE(LOWER(H5&amp;""),"ё","е")=SUBSTITUTE(LOWER((IF(F5&gt;=4.5,"отлично",""))&amp;""),"ё","е"),FALSE),IFERROR(SUBSTITUTE(LOWER(H6&amp;""),"ё","е")=SUBSTITUTE(LOWER((IF(F6&gt;=4.5,"отлично",""))&amp;""),"ё","е"),FALSE),IFERROR(SUBSTITUTE(LOWER(H7&amp;""),"ё","е")=SUBSTITUTE(LOWER((IF(F7&gt;=4.5,"отлично",""))&amp;""),"ё","е"),FALSE))),"✗ ответ неверный — проверь формулу и диапазон","✓ верно"))))</f>
        <v/>
      </c>
    </row>
    <row r="6">
      <c r="A6" s="6" t="inlineStr">
        <is>
          <t>Мадина</t>
        </is>
      </c>
      <c r="B6" s="6" t="n">
        <v>4</v>
      </c>
      <c r="C6" s="6" t="n">
        <v>5</v>
      </c>
      <c r="D6" s="6" t="n">
        <v>5</v>
      </c>
      <c r="E6" s="6" t="n">
        <v>4</v>
      </c>
      <c r="F6" s="4" t="n"/>
      <c r="G6" s="6" t="n"/>
      <c r="H6" s="4" t="n"/>
      <c r="I6" s="6" t="n"/>
      <c r="K6" s="8" t="n">
        <v>5</v>
      </c>
      <c r="L6" s="8" t="inlineStr">
        <is>
          <t>сложное: пропуск</t>
        </is>
      </c>
      <c r="M6" s="8" t="inlineStr">
        <is>
          <t>Тимур не писал СОР 2. Очисти C3 — ячейка должна стать пустой. Что теперь в F3? Почему среднее изменилось?</t>
        </is>
      </c>
      <c r="N6" s="8" t="inlineStr">
        <is>
          <t>очисти C3; ответ в F3</t>
        </is>
      </c>
      <c r="O6" s="9">
        <f>IF(ISBLANK(F3),"—",IF(NOT(AND(C3="")),"✗ сначала очисти C3",IF(OR(NOT(_xlfn.ISFORMULA(F3))),"✗ нужна формула, а не готовый ответ",IF(NOT(AND(IFERROR(ABS(F3-(AVERAGE(B3:E3)))&lt;=0.01*MAX(1,ABS(AVERAGE(B3:E3))),FALSE))),"✗ ответ неверный — проверь формулу и диапазон","✓ верно"))))</f>
        <v/>
      </c>
    </row>
    <row r="7">
      <c r="A7" s="6" t="inlineStr">
        <is>
          <t>Ерлан</t>
        </is>
      </c>
      <c r="B7" s="6" t="n">
        <v>4</v>
      </c>
      <c r="C7" s="6" t="n">
        <v>4</v>
      </c>
      <c r="D7" s="6" t="n">
        <v>3</v>
      </c>
      <c r="E7" s="6" t="n">
        <v>5</v>
      </c>
      <c r="F7" s="4" t="n"/>
      <c r="G7" s="6" t="n"/>
      <c r="H7" s="4" t="n"/>
      <c r="I7" s="6" t="n"/>
      <c r="K7" s="8" t="n">
        <v>6</v>
      </c>
      <c r="L7" s="8" t="inlineStr">
        <is>
          <t>сложное: ноль</t>
        </is>
      </c>
      <c r="M7" s="8" t="inlineStr">
        <is>
          <t>Ерлан тоже пропустил работу — СОР 3, но ему записали ноль. Впиши в D7 ноль. Что стало в F7? Сравни с Тимуром: почему ноль снижает средний балл, а пустая ячейка — нет?</t>
        </is>
      </c>
      <c r="N7" s="8" t="inlineStr">
        <is>
          <t>измени D7 → 0; ответ в F7</t>
        </is>
      </c>
      <c r="O7" s="9">
        <f>IF(ISBLANK(F7),"—",IF(NOT(AND(D7=0)),"✗ сначала измени D7 на 0",IF(OR(NOT(_xlfn.ISFORMULA(F7))),"✗ нужна формула, а не готовый ответ",IF(NOT(AND(IFERROR(ABS(F7-(AVERAGE(B7:E7)))&lt;=0.01*MAX(1,ABS(AVERAGE(B7:E7))),FALSE))),"✗ ответ неверный — проверь формулу и диапазон","✓ верно"))))</f>
        <v/>
      </c>
    </row>
    <row r="8">
      <c r="A8" s="6" t="inlineStr">
        <is>
          <t>Класс</t>
        </is>
      </c>
      <c r="B8" s="4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День</t>
        </is>
      </c>
      <c r="B1" s="5" t="inlineStr">
        <is>
          <t>Днём</t>
        </is>
      </c>
      <c r="C1" s="5" t="inlineStr">
        <is>
          <t>Ночью</t>
        </is>
      </c>
      <c r="D1" s="5" t="inlineStr">
        <is>
          <t>Перепад</t>
        </is>
      </c>
      <c r="E1" s="6" t="n"/>
      <c r="F1" s="6" t="n"/>
      <c r="G1" s="6" t="n"/>
      <c r="H1" s="6" t="n"/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Пн</t>
        </is>
      </c>
      <c r="B2" s="6" t="n">
        <v>14</v>
      </c>
      <c r="C2" s="6" t="n">
        <v>5</v>
      </c>
      <c r="D2" s="4" t="n"/>
      <c r="E2" s="6" t="n"/>
      <c r="F2" s="6" t="n"/>
      <c r="G2" s="6" t="n"/>
      <c r="H2" s="6" t="n"/>
      <c r="I2" s="6" t="n"/>
      <c r="K2" s="8" t="n">
        <v>1</v>
      </c>
      <c r="L2" s="8" t="inlineStr">
        <is>
          <t>МАКС</t>
        </is>
      </c>
      <c r="M2" s="8" t="inlineStr">
        <is>
          <t>Какая была самая высокая дневная температура? Запиши в B10.</t>
        </is>
      </c>
      <c r="N2" s="8" t="inlineStr">
        <is>
          <t>B10</t>
        </is>
      </c>
      <c r="O2" s="9">
        <f>IF(ISBLANK(B10),"—",IF(OR(NOT(_xlfn.ISFORMULA(B10))),"✗ нужна формула, а не готовый ответ",IF(NOT(OR(ISNUMBER(SEARCH("МАКС(",IFERROR(_xlfn.FORMULATEXT(B10),""))),ISNUMBER(SEARCH("MAX(",IFERROR(_xlfn.FORMULATEXT(B10),""))))),"✗ нужна функция МАКС",IF(NOT(AND(IFERROR(ABS(B10-(MAX(B2:B8)))&lt;=0.01*MAX(1,ABS(MAX(B2:B8))),FALSE))),"✗ ответ неверный — проверь формулу и диапазон","✓ верно"))))</f>
        <v/>
      </c>
    </row>
    <row r="3">
      <c r="A3" s="6" t="inlineStr">
        <is>
          <t>Вт</t>
        </is>
      </c>
      <c r="B3" s="6" t="n">
        <v>16</v>
      </c>
      <c r="C3" s="6" t="n">
        <v>7</v>
      </c>
      <c r="D3" s="4" t="n"/>
      <c r="E3" s="6" t="n"/>
      <c r="F3" s="6" t="n"/>
      <c r="G3" s="6" t="n"/>
      <c r="H3" s="6" t="n"/>
      <c r="I3" s="6" t="n"/>
      <c r="K3" s="8" t="n">
        <v>2</v>
      </c>
      <c r="L3" s="8" t="inlineStr">
        <is>
          <t>МИН</t>
        </is>
      </c>
      <c r="M3" s="8" t="inlineStr">
        <is>
          <t>Какой была самая холодная ночь? Запиши в C11.</t>
        </is>
      </c>
      <c r="N3" s="8" t="inlineStr">
        <is>
          <t>C11</t>
        </is>
      </c>
      <c r="O3" s="9">
        <f>IF(ISBLANK(C11),"—",IF(OR(NOT(_xlfn.ISFORMULA(C11))),"✗ нужна формула, а не готовый ответ",IF(NOT(OR(ISNUMBER(SEARCH("МИН(",IFERROR(_xlfn.FORMULATEXT(C11),""))),ISNUMBER(SEARCH("MIN(",IFERROR(_xlfn.FORMULATEXT(C11),""))))),"✗ нужна функция МИН",IF(NOT(AND(IFERROR(ABS(C11-(MIN(C2:C8)))&lt;=0.01*MAX(1,ABS(MIN(C2:C8))),FALSE))),"✗ ответ неверный — проверь формулу и диапазон","✓ верно"))))</f>
        <v/>
      </c>
    </row>
    <row r="4">
      <c r="A4" s="6" t="inlineStr">
        <is>
          <t>Ср</t>
        </is>
      </c>
      <c r="B4" s="6" t="n">
        <v>11</v>
      </c>
      <c r="C4" s="6" t="n">
        <v>2</v>
      </c>
      <c r="D4" s="4" t="n"/>
      <c r="E4" s="6" t="n"/>
      <c r="F4" s="6" t="n"/>
      <c r="G4" s="6" t="n"/>
      <c r="H4" s="6" t="n"/>
      <c r="I4" s="6" t="n"/>
      <c r="K4" s="8" t="n">
        <v>3</v>
      </c>
      <c r="L4" s="8" t="inlineStr">
        <is>
          <t>МАКС ночью</t>
        </is>
      </c>
      <c r="M4" s="8" t="inlineStr">
        <is>
          <t>Какой была самая тёплая ночь? Запиши в C10.</t>
        </is>
      </c>
      <c r="N4" s="8" t="inlineStr">
        <is>
          <t>C10</t>
        </is>
      </c>
      <c r="O4" s="9">
        <f>IF(ISBLANK(C10),"—",IF(OR(NOT(_xlfn.ISFORMULA(C10))),"✗ нужна формула, а не готовый ответ",IF(NOT(OR(ISNUMBER(SEARCH("МАКС(",IFERROR(_xlfn.FORMULATEXT(C10),""))),ISNUMBER(SEARCH("MAX(",IFERROR(_xlfn.FORMULATEXT(C10),""))))),"✗ нужна функция МАКС",IF(NOT(AND(IFERROR(ABS(C10-(MAX(C2:C8)))&lt;=0.01*MAX(1,ABS(MAX(C2:C8))),FALSE))),"✗ ответ неверный — проверь формулу и диапазон","✓ верно"))))</f>
        <v/>
      </c>
    </row>
    <row r="5">
      <c r="A5" s="6" t="inlineStr">
        <is>
          <t>Чт</t>
        </is>
      </c>
      <c r="B5" s="6" t="n">
        <v>18</v>
      </c>
      <c r="C5" s="6" t="n">
        <v>8</v>
      </c>
      <c r="D5" s="4" t="n"/>
      <c r="E5" s="6" t="n"/>
      <c r="F5" s="6" t="n"/>
      <c r="G5" s="6" t="n"/>
      <c r="H5" s="6" t="n"/>
      <c r="I5" s="6" t="n"/>
      <c r="K5" s="8" t="n">
        <v>4</v>
      </c>
      <c r="L5" s="8" t="inlineStr">
        <is>
          <t>СРЗНАЧ</t>
        </is>
      </c>
      <c r="M5" s="8" t="inlineStr">
        <is>
          <t>Какая средняя дневная температура? Запиши в B12.</t>
        </is>
      </c>
      <c r="N5" s="8" t="inlineStr">
        <is>
          <t>B12</t>
        </is>
      </c>
      <c r="O5" s="9">
        <f>IF(ISBLANK(B12),"—",IF(OR(NOT(_xlfn.ISFORMULA(B12))),"✗ нужна формула, а не готовый ответ",IF(NOT(OR(ISNUMBER(SEARCH("СРЗНАЧ(",IFERROR(_xlfn.FORMULATEXT(B12),""))),ISNUMBER(SEARCH("AVERAGE(",IFERROR(_xlfn.FORMULATEXT(B12),""))))),"✗ нужна функция СРЗНАЧ",IF(NOT(AND(IFERROR(ABS(B12-(AVERAGE(B2:B8)))&lt;=0.01*MAX(1,ABS(AVERAGE(B2:B8))),FALSE))),"✗ ответ неверный — проверь формулу и диапазон","✓ верно"))))</f>
        <v/>
      </c>
    </row>
    <row r="6">
      <c r="A6" s="6" t="inlineStr">
        <is>
          <t>Пт</t>
        </is>
      </c>
      <c r="B6" s="6" t="n">
        <v>20</v>
      </c>
      <c r="C6" s="6" t="n">
        <v>9</v>
      </c>
      <c r="D6" s="4" t="n"/>
      <c r="E6" s="6" t="n"/>
      <c r="F6" s="6" t="n"/>
      <c r="G6" s="6" t="n"/>
      <c r="H6" s="6" t="n"/>
      <c r="I6" s="6" t="n"/>
      <c r="K6" s="8" t="n">
        <v>5</v>
      </c>
      <c r="L6" s="8" t="inlineStr">
        <is>
          <t>размах</t>
        </is>
      </c>
      <c r="M6" s="8" t="inlineStr">
        <is>
          <t>Размах дневной температуры — разница между самым тёплым и самым холодным днём. Одна формула в B13.</t>
        </is>
      </c>
      <c r="N6" s="8" t="inlineStr">
        <is>
          <t>B13</t>
        </is>
      </c>
      <c r="O6" s="9">
        <f>IF(ISBLANK(B13),"—",IF(OR(NOT(_xlfn.ISFORMULA(B13))),"✗ нужна формула, а не готовый ответ",IF(NOT(OR(ISNUMBER(SEARCH("МАКС(",IFERROR(_xlfn.FORMULATEXT(B13),""))),ISNUMBER(SEARCH("MAX(",IFERROR(_xlfn.FORMULATEXT(B13),""))))),"✗ нужна функция МАКС",IF(NOT(OR(ISNUMBER(SEARCH("МИН(",IFERROR(_xlfn.FORMULATEXT(B13),""))),ISNUMBER(SEARCH("MIN(",IFERROR(_xlfn.FORMULATEXT(B13),""))))),"✗ нужна функция МИН",IF(NOT(AND(IFERROR(ABS(B13-(MAX(B2:B8)-MIN(B2:B8)))&lt;=0.01*MAX(1,ABS(MAX(B2:B8)-MIN(B2:B8))),FALSE))),"✗ ответ неверный — проверь формулу и диапазон","✓ верно")))))</f>
        <v/>
      </c>
    </row>
    <row r="7">
      <c r="A7" s="6" t="inlineStr">
        <is>
          <t>Сб</t>
        </is>
      </c>
      <c r="B7" s="6" t="n">
        <v>17</v>
      </c>
      <c r="C7" s="6" t="n">
        <v>6</v>
      </c>
      <c r="D7" s="4" t="n"/>
      <c r="E7" s="6" t="n"/>
      <c r="F7" s="6" t="n"/>
      <c r="G7" s="6" t="n"/>
      <c r="H7" s="6" t="n"/>
      <c r="I7" s="6" t="n"/>
      <c r="K7" s="8" t="n">
        <v>6</v>
      </c>
      <c r="L7" s="8" t="inlineStr">
        <is>
          <t>сложное: перепад</t>
        </is>
      </c>
      <c r="M7" s="8" t="inlineStr">
        <is>
          <t>На сколько днём теплее, чем ночью? Запиши в D2 и протяни до D8. Какой перепад в воскресенье (D8)?</t>
        </is>
      </c>
      <c r="N7" s="8" t="inlineStr">
        <is>
          <t>D2 → протяни до D8; ответ в D8</t>
        </is>
      </c>
      <c r="O7" s="9">
        <f>IF(ISBLANK(D2),"—",IF(OR(NOT(_xlfn.ISFORMULA(D2)),NOT(_xlfn.ISFORMULA(D3)),NOT(_xlfn.ISFORMULA(D4)),NOT(_xlfn.ISFORMULA(D5)),NOT(_xlfn.ISFORMULA(D6)),NOT(_xlfn.ISFORMULA(D7)),NOT(_xlfn.ISFORMULA(D8))),"✗ нужна формула, а не готовый ответ (протяни формулу вниз)",IF(NOT(AND(IFERROR(ABS(D2-(B2-C2))&lt;=0.01*MAX(1,ABS(B2-C2)),FALSE),IFERROR(ABS(D3-(B3-C3))&lt;=0.01*MAX(1,ABS(B3-C3)),FALSE),IFERROR(ABS(D4-(B4-C4))&lt;=0.01*MAX(1,ABS(B4-C4)),FALSE),IFERROR(ABS(D5-(B5-C5))&lt;=0.01*MAX(1,ABS(B5-C5)),FALSE),IFERROR(ABS(D6-(B6-C6))&lt;=0.01*MAX(1,ABS(B6-C6)),FALSE),IFERROR(ABS(D7-(B7-C7))&lt;=0.01*MAX(1,ABS(B7-C7)),FALSE),IFERROR(ABS(D8-(B8-C8))&lt;=0.01*MAX(1,ABS(B8-C8)),FALSE))),"✗ ответ неверный — проверь формулу и диапазон","✓ верно")))</f>
        <v/>
      </c>
    </row>
    <row r="8">
      <c r="A8" s="6" t="inlineStr">
        <is>
          <t>Вс</t>
        </is>
      </c>
      <c r="B8" s="6" t="n">
        <v>13</v>
      </c>
      <c r="C8" s="6" t="n">
        <v>-1</v>
      </c>
      <c r="D8" s="4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inlineStr">
        <is>
          <t>Максимум</t>
        </is>
      </c>
      <c r="B10" s="4" t="n"/>
      <c r="C10" s="4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Минимум</t>
        </is>
      </c>
      <c r="B11" s="6" t="n"/>
      <c r="C11" s="4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Среднее</t>
        </is>
      </c>
      <c r="B12" s="4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inlineStr">
        <is>
          <t>Размах</t>
        </is>
      </c>
      <c r="B13" s="4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Ученик</t>
        </is>
      </c>
      <c r="B1" s="5" t="inlineStr">
        <is>
          <t>Бег 60 м, с</t>
        </is>
      </c>
      <c r="C1" s="5" t="inlineStr">
        <is>
          <t>Прыжок, см</t>
        </is>
      </c>
      <c r="D1" s="5" t="inlineStr">
        <is>
          <t>Отжимания</t>
        </is>
      </c>
      <c r="E1" s="6" t="n"/>
      <c r="F1" s="6" t="n"/>
      <c r="G1" s="6" t="n"/>
      <c r="H1" s="6" t="n"/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9.800000000000001</v>
      </c>
      <c r="C2" s="6" t="n">
        <v>155</v>
      </c>
      <c r="D2" s="6" t="n">
        <v>12</v>
      </c>
      <c r="E2" s="6" t="n"/>
      <c r="F2" s="6" t="n"/>
      <c r="G2" s="6" t="n"/>
      <c r="H2" s="6" t="n"/>
      <c r="I2" s="6" t="n"/>
      <c r="K2" s="8" t="n">
        <v>1</v>
      </c>
      <c r="L2" s="8" t="inlineStr">
        <is>
          <t>лучший в беге</t>
        </is>
      </c>
      <c r="M2" s="8" t="inlineStr">
        <is>
          <t>Найди лучший результат в беге (B9). Подумай: в беге лучше большее или меньшее время?</t>
        </is>
      </c>
      <c r="N2" s="8" t="inlineStr">
        <is>
          <t>B9</t>
        </is>
      </c>
      <c r="O2" s="9">
        <f>IF(ISBLANK(B9),"—",IF(OR(NOT(_xlfn.ISFORMULA(B9))),"✗ нужна формула, а не готовый ответ",IF(NOT(OR(ISNUMBER(SEARCH("МИН(",IFERROR(_xlfn.FORMULATEXT(B9),""))),ISNUMBER(SEARCH("MIN(",IFERROR(_xlfn.FORMULATEXT(B9),""))))),"✗ нужна функция МИН",IF(NOT(AND(IFERROR(ABS(B9-(MIN(B2:B7)))&lt;=0.01*MAX(1,ABS(MIN(B2:B7))),FALSE))),"✗ ответ неверный — проверь формулу и диапазон","✓ верно"))))</f>
        <v/>
      </c>
    </row>
    <row r="3">
      <c r="A3" s="6" t="inlineStr">
        <is>
          <t>Тимур</t>
        </is>
      </c>
      <c r="B3" s="6" t="n">
        <v>10.4</v>
      </c>
      <c r="C3" s="6" t="n">
        <v>170</v>
      </c>
      <c r="D3" s="6" t="n">
        <v>25</v>
      </c>
      <c r="E3" s="6" t="n"/>
      <c r="F3" s="6" t="n"/>
      <c r="G3" s="6" t="n"/>
      <c r="H3" s="6" t="n"/>
      <c r="I3" s="6" t="n"/>
      <c r="K3" s="8" t="n">
        <v>2</v>
      </c>
      <c r="L3" s="8" t="inlineStr">
        <is>
          <t>лучший прыжок</t>
        </is>
      </c>
      <c r="M3" s="8" t="inlineStr">
        <is>
          <t>Найди лучший прыжок (C9).</t>
        </is>
      </c>
      <c r="N3" s="8" t="inlineStr">
        <is>
          <t>C9</t>
        </is>
      </c>
      <c r="O3" s="9">
        <f>IF(ISBLANK(C9),"—",IF(OR(NOT(_xlfn.ISFORMULA(C9))),"✗ нужна формула, а не готовый ответ",IF(NOT(OR(ISNUMBER(SEARCH("МАКС(",IFERROR(_xlfn.FORMULATEXT(C9),""))),ISNUMBER(SEARCH("MAX(",IFERROR(_xlfn.FORMULATEXT(C9),""))))),"✗ нужна функция МАКС",IF(NOT(AND(IFERROR(ABS(C9-(MAX(C2:C7)))&lt;=0.01*MAX(1,ABS(MAX(C2:C7))),FALSE))),"✗ ответ неверный — проверь формулу и диапазон","✓ верно"))))</f>
        <v/>
      </c>
    </row>
    <row r="4">
      <c r="A4" s="6" t="inlineStr">
        <is>
          <t>Дана</t>
        </is>
      </c>
      <c r="B4" s="6" t="n">
        <v>9.199999999999999</v>
      </c>
      <c r="C4" s="6" t="n">
        <v>140</v>
      </c>
      <c r="D4" s="6" t="n">
        <v>18</v>
      </c>
      <c r="E4" s="6" t="n"/>
      <c r="F4" s="6" t="n"/>
      <c r="G4" s="6" t="n"/>
      <c r="H4" s="6" t="n"/>
      <c r="I4" s="6" t="n"/>
      <c r="K4" s="8" t="n">
        <v>3</v>
      </c>
      <c r="L4" s="8" t="inlineStr">
        <is>
          <t>лучшие отжимания</t>
        </is>
      </c>
      <c r="M4" s="8" t="inlineStr">
        <is>
          <t>Найди лучший результат в отжиманиях (D9).</t>
        </is>
      </c>
      <c r="N4" s="8" t="inlineStr">
        <is>
          <t>D9</t>
        </is>
      </c>
      <c r="O4" s="9">
        <f>IF(ISBLANK(D9),"—",IF(OR(NOT(_xlfn.ISFORMULA(D9))),"✗ нужна формула, а не готовый ответ",IF(NOT(OR(ISNUMBER(SEARCH("МАКС(",IFERROR(_xlfn.FORMULATEXT(D9),""))),ISNUMBER(SEARCH("MAX(",IFERROR(_xlfn.FORMULATEXT(D9),""))))),"✗ нужна функция МАКС",IF(NOT(AND(IFERROR(ABS(D9-(MAX(D2:D7)))&lt;=0.01*MAX(1,ABS(MAX(D2:D7))),FALSE))),"✗ ответ неверный — проверь формулу и диапазон","✓ верно"))))</f>
        <v/>
      </c>
    </row>
    <row r="5">
      <c r="A5" s="6" t="inlineStr">
        <is>
          <t>Арман</t>
        </is>
      </c>
      <c r="B5" s="6" t="n">
        <v>8.9</v>
      </c>
      <c r="C5" s="6" t="n">
        <v>182</v>
      </c>
      <c r="D5" s="6" t="n">
        <v>30</v>
      </c>
      <c r="E5" s="6" t="n"/>
      <c r="F5" s="6" t="n"/>
      <c r="G5" s="6" t="n"/>
      <c r="H5" s="6" t="n"/>
      <c r="I5" s="6" t="n"/>
      <c r="K5" s="8" t="n">
        <v>4</v>
      </c>
      <c r="L5" s="8" t="inlineStr">
        <is>
          <t>худший в беге</t>
        </is>
      </c>
      <c r="M5" s="8" t="inlineStr">
        <is>
          <t>Найди худший результат в беге (B10).</t>
        </is>
      </c>
      <c r="N5" s="8" t="inlineStr">
        <is>
          <t>B10</t>
        </is>
      </c>
      <c r="O5" s="9">
        <f>IF(ISBLANK(B10),"—",IF(OR(NOT(_xlfn.ISFORMULA(B10))),"✗ нужна формула, а не готовый ответ",IF(NOT(OR(ISNUMBER(SEARCH("МАКС(",IFERROR(_xlfn.FORMULATEXT(B10),""))),ISNUMBER(SEARCH("MAX(",IFERROR(_xlfn.FORMULATEXT(B10),""))))),"✗ нужна функция МАКС",IF(NOT(AND(IFERROR(ABS(B10-(MAX(B2:B7)))&lt;=0.01*MAX(1,ABS(MAX(B2:B7))),FALSE))),"✗ ответ неверный — проверь формулу и диапазон","✓ верно"))))</f>
        <v/>
      </c>
    </row>
    <row r="6">
      <c r="A6" s="6" t="inlineStr">
        <is>
          <t>Мадина</t>
        </is>
      </c>
      <c r="B6" s="6" t="n">
        <v>11</v>
      </c>
      <c r="C6" s="6" t="n">
        <v>130</v>
      </c>
      <c r="D6" s="6" t="n">
        <v>8</v>
      </c>
      <c r="E6" s="6" t="n"/>
      <c r="F6" s="6" t="n"/>
      <c r="G6" s="6" t="n"/>
      <c r="H6" s="6" t="n"/>
      <c r="I6" s="6" t="n"/>
      <c r="K6" s="8" t="n">
        <v>5</v>
      </c>
      <c r="L6" s="8" t="inlineStr">
        <is>
          <t>средний прыжок</t>
        </is>
      </c>
      <c r="M6" s="8" t="inlineStr">
        <is>
          <t>Найди средний прыжок класса (C11).</t>
        </is>
      </c>
      <c r="N6" s="8" t="inlineStr">
        <is>
          <t>C11</t>
        </is>
      </c>
      <c r="O6" s="9">
        <f>IF(ISBLANK(C11),"—",IF(OR(NOT(_xlfn.ISFORMULA(C11))),"✗ нужна формула, а не готовый ответ",IF(NOT(OR(ISNUMBER(SEARCH("СРЗНАЧ(",IFERROR(_xlfn.FORMULATEXT(C11),""))),ISNUMBER(SEARCH("AVERAGE(",IFERROR(_xlfn.FORMULATEXT(C11),""))))),"✗ нужна функция СРЗНАЧ",IF(NOT(AND(IFERROR(ABS(C11-(AVERAGE(C2:C7)))&lt;=0.01*MAX(1,ABS(AVERAGE(C2:C7))),FALSE))),"✗ ответ неверный — проверь формулу и диапазон","✓ верно"))))</f>
        <v/>
      </c>
    </row>
    <row r="7">
      <c r="A7" s="6" t="inlineStr">
        <is>
          <t>Ерлан</t>
        </is>
      </c>
      <c r="B7" s="6" t="n">
        <v>9.5</v>
      </c>
      <c r="C7" s="6" t="n">
        <v>165</v>
      </c>
      <c r="D7" s="6" t="n">
        <v>20</v>
      </c>
      <c r="E7" s="6" t="n"/>
      <c r="F7" s="6" t="n"/>
      <c r="G7" s="6" t="n"/>
      <c r="H7" s="6" t="n"/>
      <c r="I7" s="6" t="n"/>
      <c r="K7" s="8" t="n">
        <v>6</v>
      </c>
      <c r="L7" s="8" t="inlineStr">
        <is>
          <t>сложное: до лучшего</t>
        </is>
      </c>
      <c r="M7" s="8" t="inlineStr">
        <is>
          <t>Сколько сантиметров не хватило Мадине до лучшего прыжка? Одна формула в C12.</t>
        </is>
      </c>
      <c r="N7" s="8" t="inlineStr">
        <is>
          <t>C12</t>
        </is>
      </c>
      <c r="O7" s="9">
        <f>IF(ISBLANK(C12),"—",IF(OR(NOT(_xlfn.ISFORMULA(C12))),"✗ нужна формула, а не готовый ответ",IF(NOT(OR(ISNUMBER(SEARCH("МАКС(",IFERROR(_xlfn.FORMULATEXT(C12),""))),ISNUMBER(SEARCH("MAX(",IFERROR(_xlfn.FORMULATEXT(C12),""))))),"✗ нужна функция МАКС",IF(NOT(AND(IFERROR(ABS(C12-(MAX(C2:C7)-C6))&lt;=0.01*MAX(1,ABS(MAX(C2:C7)-C6)),FALSE))),"✗ ответ неверный — проверь формулу и диапазон","✓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Лучший</t>
        </is>
      </c>
      <c r="B9" s="4" t="n"/>
      <c r="C9" s="4" t="n"/>
      <c r="D9" s="4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inlineStr">
        <is>
          <t>Худший</t>
        </is>
      </c>
      <c r="B10" s="4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Средний</t>
        </is>
      </c>
      <c r="B11" s="6" t="n"/>
      <c r="C11" s="4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Мадине до лучшего</t>
        </is>
      </c>
      <c r="B12" s="6" t="n"/>
      <c r="C12" s="4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Товар</t>
        </is>
      </c>
      <c r="B1" s="5" t="inlineStr">
        <is>
          <t>Магазин 1</t>
        </is>
      </c>
      <c r="C1" s="5" t="inlineStr">
        <is>
          <t>Магазин 2</t>
        </is>
      </c>
      <c r="D1" s="5" t="inlineStr">
        <is>
          <t>Магазин 3</t>
        </is>
      </c>
      <c r="E1" s="5" t="inlineStr">
        <is>
          <t>Дешевле всего</t>
        </is>
      </c>
      <c r="F1" s="5" t="inlineStr">
        <is>
          <t>Дороже всего</t>
        </is>
      </c>
      <c r="G1" s="5" t="inlineStr">
        <is>
          <t>Средняя цена</t>
        </is>
      </c>
      <c r="H1" s="5" t="inlineStr">
        <is>
          <t>Экономия</t>
        </is>
      </c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Тетрадь</t>
        </is>
      </c>
      <c r="B2" s="6" t="n">
        <v>150</v>
      </c>
      <c r="C2" s="6" t="n">
        <v>140</v>
      </c>
      <c r="D2" s="6" t="n">
        <v>165</v>
      </c>
      <c r="E2" s="4" t="n"/>
      <c r="F2" s="4" t="n"/>
      <c r="G2" s="4" t="n"/>
      <c r="H2" s="4" t="n"/>
      <c r="I2" s="6" t="n"/>
      <c r="K2" s="8" t="n">
        <v>1</v>
      </c>
      <c r="L2" s="8" t="inlineStr">
        <is>
          <t>МИН по строке</t>
        </is>
      </c>
      <c r="M2" s="8" t="inlineStr">
        <is>
          <t>В E2 найди самую низкую цену тетради в трёх магазинах и протяни до E6. Сколько стоит рюкзак там, где дешевле всего (E4)?</t>
        </is>
      </c>
      <c r="N2" s="8" t="inlineStr">
        <is>
          <t>E2 → протяни до E6; ответ в E4</t>
        </is>
      </c>
      <c r="O2" s="9">
        <f>IF(ISBLANK(E2),"—",IF(OR(NOT(_xlfn.ISFORMULA(E2)),NOT(_xlfn.ISFORMULA(E3)),NOT(_xlfn.ISFORMULA(E4)),NOT(_xlfn.ISFORMULA(E5)),NOT(_xlfn.ISFORMULA(E6))),"✗ нужна формула, а не готовый ответ (протяни формулу вниз)",IF(NOT(OR(ISNUMBER(SEARCH("МИН(",IFERROR(_xlfn.FORMULATEXT(E2),""))),ISNUMBER(SEARCH("MIN(",IFERROR(_xlfn.FORMULATEXT(E2),""))))),"✗ нужна функция МИН",IF(NOT(AND(IFERROR(ABS(E2-(MIN(B2:D2)))&lt;=0.01*MAX(1,ABS(MIN(B2:D2))),FALSE),IFERROR(ABS(E3-(MIN(B3:D3)))&lt;=0.01*MAX(1,ABS(MIN(B3:D3))),FALSE),IFERROR(ABS(E4-(MIN(B4:D4)))&lt;=0.01*MAX(1,ABS(MIN(B4:D4))),FALSE),IFERROR(ABS(E5-(MIN(B5:D5)))&lt;=0.01*MAX(1,ABS(MIN(B5:D5))),FALSE),IFERROR(ABS(E6-(MIN(B6:D6)))&lt;=0.01*MAX(1,ABS(MIN(B6:D6))),FALSE))),"✗ ответ неверный — проверь формулу и диапазон","✓ верно"))))</f>
        <v/>
      </c>
    </row>
    <row r="3">
      <c r="A3" s="6" t="inlineStr">
        <is>
          <t>Ручка</t>
        </is>
      </c>
      <c r="B3" s="6" t="n">
        <v>120</v>
      </c>
      <c r="C3" s="6" t="n">
        <v>130</v>
      </c>
      <c r="D3" s="6" t="n">
        <v>110</v>
      </c>
      <c r="E3" s="4" t="n"/>
      <c r="F3" s="4" t="n"/>
      <c r="G3" s="4" t="n"/>
      <c r="H3" s="4" t="n"/>
      <c r="I3" s="6" t="n"/>
      <c r="K3" s="8" t="n">
        <v>2</v>
      </c>
      <c r="L3" s="8" t="inlineStr">
        <is>
          <t>МАКС по строке</t>
        </is>
      </c>
      <c r="M3" s="8" t="inlineStr">
        <is>
          <t>В F2 — самая высокая цена, протяни до F6. Сколько стоит рюкзак там, где дороже всего (F4)?</t>
        </is>
      </c>
      <c r="N3" s="8" t="inlineStr">
        <is>
          <t>F2 → протяни до F6; ответ в F4</t>
        </is>
      </c>
      <c r="O3" s="9">
        <f>IF(ISBLANK(F2),"—",IF(OR(NOT(_xlfn.ISFORMULA(F2)),NOT(_xlfn.ISFORMULA(F3)),NOT(_xlfn.ISFORMULA(F4)),NOT(_xlfn.ISFORMULA(F5)),NOT(_xlfn.ISFORMULA(F6))),"✗ нужна формула, а не готовый ответ (протяни формулу вниз)",IF(NOT(OR(ISNUMBER(SEARCH("МАКС(",IFERROR(_xlfn.FORMULATEXT(F2),""))),ISNUMBER(SEARCH("MAX(",IFERROR(_xlfn.FORMULATEXT(F2),""))))),"✗ нужна функция МАКС",IF(NOT(AND(IFERROR(ABS(F2-(MAX(B2:D2)))&lt;=0.01*MAX(1,ABS(MAX(B2:D2))),FALSE),IFERROR(ABS(F3-(MAX(B3:D3)))&lt;=0.01*MAX(1,ABS(MAX(B3:D3))),FALSE),IFERROR(ABS(F4-(MAX(B4:D4)))&lt;=0.01*MAX(1,ABS(MAX(B4:D4))),FALSE),IFERROR(ABS(F5-(MAX(B5:D5)))&lt;=0.01*MAX(1,ABS(MAX(B5:D5))),FALSE),IFERROR(ABS(F6-(MAX(B6:D6)))&lt;=0.01*MAX(1,ABS(MAX(B6:D6))),FALSE))),"✗ ответ неверный — проверь формулу и диапазон","✓ верно"))))</f>
        <v/>
      </c>
    </row>
    <row r="4">
      <c r="A4" s="6" t="inlineStr">
        <is>
          <t>Рюкзак</t>
        </is>
      </c>
      <c r="B4" s="6" t="n">
        <v>9500</v>
      </c>
      <c r="C4" s="6" t="n">
        <v>8900</v>
      </c>
      <c r="D4" s="6" t="n">
        <v>10200</v>
      </c>
      <c r="E4" s="4" t="n"/>
      <c r="F4" s="4" t="n"/>
      <c r="G4" s="4" t="n"/>
      <c r="H4" s="4" t="n"/>
      <c r="I4" s="6" t="n"/>
      <c r="K4" s="8" t="n">
        <v>3</v>
      </c>
      <c r="L4" s="8" t="inlineStr">
        <is>
          <t>СРЗНАЧ по строке</t>
        </is>
      </c>
      <c r="M4" s="8" t="inlineStr">
        <is>
          <t>В G2 — средняя цена, протяни до G6. Какая средняя цена пенала (G5)?</t>
        </is>
      </c>
      <c r="N4" s="8" t="inlineStr">
        <is>
          <t>G2 → протяни до G6; ответ в G5</t>
        </is>
      </c>
      <c r="O4" s="9">
        <f>IF(ISBLANK(G2),"—",IF(OR(NOT(_xlfn.ISFORMULA(G2)),NOT(_xlfn.ISFORMULA(G3)),NOT(_xlfn.ISFORMULA(G4)),NOT(_xlfn.ISFORMULA(G5)),NOT(_xlfn.ISFORMULA(G6))),"✗ нужна формула, а не готовый ответ (протяни формулу вниз)",IF(NOT(OR(ISNUMBER(SEARCH("СРЗНАЧ(",IFERROR(_xlfn.FORMULATEXT(G2),""))),ISNUMBER(SEARCH("AVERAGE(",IFERROR(_xlfn.FORMULATEXT(G2),""))))),"✗ нужна функция СРЗНАЧ",IF(NOT(AND(IFERROR(ABS(G2-(AVERAGE(B2:D2)))&lt;=0.01*MAX(1,ABS(AVERAGE(B2:D2))),FALSE),IFERROR(ABS(G3-(AVERAGE(B3:D3)))&lt;=0.01*MAX(1,ABS(AVERAGE(B3:D3))),FALSE),IFERROR(ABS(G4-(AVERAGE(B4:D4)))&lt;=0.01*MAX(1,ABS(AVERAGE(B4:D4))),FALSE),IFERROR(ABS(G5-(AVERAGE(B5:D5)))&lt;=0.01*MAX(1,ABS(AVERAGE(B5:D5))),FALSE),IFERROR(ABS(G6-(AVERAGE(B6:D6)))&lt;=0.01*MAX(1,ABS(AVERAGE(B6:D6))),FALSE))),"✗ ответ неверный — проверь формулу и диапазон","✓ верно"))))</f>
        <v/>
      </c>
    </row>
    <row r="5">
      <c r="A5" s="6" t="inlineStr">
        <is>
          <t>Пенал</t>
        </is>
      </c>
      <c r="B5" s="6" t="n">
        <v>1500</v>
      </c>
      <c r="C5" s="6" t="n">
        <v>1400</v>
      </c>
      <c r="D5" s="6" t="n">
        <v>1650</v>
      </c>
      <c r="E5" s="4" t="n"/>
      <c r="F5" s="4" t="n"/>
      <c r="G5" s="4" t="n"/>
      <c r="H5" s="4" t="n"/>
      <c r="I5" s="6" t="n"/>
      <c r="K5" s="8" t="n">
        <v>4</v>
      </c>
      <c r="L5" s="8" t="inlineStr">
        <is>
          <t>экономия</t>
        </is>
      </c>
      <c r="M5" s="8" t="inlineStr">
        <is>
          <t>Экономия — на сколько дороже всего дороже, чем дешевле всего. В H2: =F2-E2, протяни. Сколько можно сэкономить на рюкзаке (H4)?</t>
        </is>
      </c>
      <c r="N5" s="8" t="inlineStr">
        <is>
          <t>H2 → протяни до H6; ответ в H4</t>
        </is>
      </c>
      <c r="O5" s="9">
        <f>IF(ISBLANK(H2),"—",IF(OR(NOT(_xlfn.ISFORMULA(H2)),NOT(_xlfn.ISFORMULA(H3)),NOT(_xlfn.ISFORMULA(H4)),NOT(_xlfn.ISFORMULA(H5)),NOT(_xlfn.ISFORMULA(H6))),"✗ нужна формула, а не готовый ответ (протяни формулу вниз)",IF(NOT(AND(IFERROR(ABS(H2-(F2-E2))&lt;=0.01*MAX(1,ABS(F2-E2)),FALSE),IFERROR(ABS(H3-(F3-E3))&lt;=0.01*MAX(1,ABS(F3-E3)),FALSE),IFERROR(ABS(H4-(F4-E4))&lt;=0.01*MAX(1,ABS(F4-E4)),FALSE),IFERROR(ABS(H5-(F5-E5))&lt;=0.01*MAX(1,ABS(F5-E5)),FALSE),IFERROR(ABS(H6-(F6-E6))&lt;=0.01*MAX(1,ABS(F6-E6)),FALSE))),"✗ ответ неверный — проверь формулу и диапазон","✓ верно")))</f>
        <v/>
      </c>
    </row>
    <row r="6">
      <c r="A6" s="6" t="inlineStr">
        <is>
          <t>Краски</t>
        </is>
      </c>
      <c r="B6" s="6" t="n">
        <v>900</v>
      </c>
      <c r="C6" s="6" t="n">
        <v>850</v>
      </c>
      <c r="D6" s="6" t="n">
        <v>950</v>
      </c>
      <c r="E6" s="4" t="n"/>
      <c r="F6" s="4" t="n"/>
      <c r="G6" s="4" t="n"/>
      <c r="H6" s="4" t="n"/>
      <c r="I6" s="6" t="n"/>
      <c r="K6" s="8" t="n">
        <v>5</v>
      </c>
      <c r="L6" s="8" t="inlineStr">
        <is>
          <t>СУММ</t>
        </is>
      </c>
      <c r="M6" s="8" t="inlineStr">
        <is>
          <t>Сколько заплатишь, если каждый товар купить там, где он дешевле всего? Сложи E2:E6 в E7.</t>
        </is>
      </c>
      <c r="N6" s="8" t="inlineStr">
        <is>
          <t>E7</t>
        </is>
      </c>
      <c r="O6" s="9">
        <f>IF(ISBLANK(E7),"—",IF(OR(NOT(_xlfn.ISFORMULA(E7))),"✗ нужна формула, а не готовый ответ",IF(NOT(OR(ISNUMBER(SEARCH("СУММ(",IFERROR(_xlfn.FORMULATEXT(E7),""))),ISNUMBER(SEARCH("SUM(",IFERROR(_xlfn.FORMULATEXT(E7),""))))),"✗ нужна функция СУММ",IF(NOT(AND(IFERROR(ABS(E7-(SUM(E2:E6)))&lt;=0.01*MAX(1,ABS(SUM(E2:E6))),FALSE))),"✗ ответ неверный — проверь формулу и диапазон","✓ верно"))))</f>
        <v/>
      </c>
    </row>
    <row r="7">
      <c r="A7" s="6" t="inlineStr">
        <is>
          <t>Всего</t>
        </is>
      </c>
      <c r="B7" s="6" t="n"/>
      <c r="C7" s="6" t="n"/>
      <c r="D7" s="6" t="n"/>
      <c r="E7" s="4" t="n"/>
      <c r="F7" s="6" t="n"/>
      <c r="G7" s="6" t="n"/>
      <c r="H7" s="6" t="n"/>
      <c r="I7" s="6" t="n"/>
      <c r="K7" s="8" t="n">
        <v>6</v>
      </c>
      <c r="L7" s="8" t="inlineStr">
        <is>
          <t>сложное: цена выросла</t>
        </is>
      </c>
      <c r="M7" s="8" t="inlineStr">
        <is>
          <t>Магазин 2 поднял цену рюкзака до 9800 — измени C4. Сколько теперь стоит рюкзак там, где дешевле всего (E4)?</t>
        </is>
      </c>
      <c r="N7" s="8" t="inlineStr">
        <is>
          <t>измени C4 → 9800; ответ в E4</t>
        </is>
      </c>
      <c r="O7" s="9">
        <f>IF(ISBLANK(E4),"—",IF(NOT(AND(C4=9800)),"✗ сначала измени C4 на 9800",IF(OR(NOT(_xlfn.ISFORMULA(E4))),"✗ нужна формула, а не готовый ответ",IF(NOT(AND(IFERROR(ABS(E4-(MIN(B4:D4)))&lt;=0.01*MAX(1,ABS(MIN(B4:D4))),FALSE))),"✗ ответ неверный — проверь формулу и диапазон","✓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Участник</t>
        </is>
      </c>
      <c r="B1" s="5" t="inlineStr">
        <is>
          <t>Тур 1</t>
        </is>
      </c>
      <c r="C1" s="5" t="inlineStr">
        <is>
          <t>Тур 2</t>
        </is>
      </c>
      <c r="D1" s="5" t="inlineStr">
        <is>
          <t>Тур 3</t>
        </is>
      </c>
      <c r="E1" s="5" t="inlineStr">
        <is>
          <t>Сумма</t>
        </is>
      </c>
      <c r="F1" s="5" t="inlineStr">
        <is>
          <t>Средний</t>
        </is>
      </c>
      <c r="G1" s="5" t="inlineStr">
        <is>
          <t>Лучший тур</t>
        </is>
      </c>
      <c r="H1" s="5" t="inlineStr">
        <is>
          <t>Итог</t>
        </is>
      </c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8</v>
      </c>
      <c r="C2" s="6" t="n">
        <v>9</v>
      </c>
      <c r="D2" s="6" t="n">
        <v>10</v>
      </c>
      <c r="E2" s="4" t="n"/>
      <c r="F2" s="4" t="n"/>
      <c r="G2" s="4" t="n"/>
      <c r="H2" s="6" t="n"/>
      <c r="I2" s="6" t="n"/>
      <c r="K2" s="8" t="n">
        <v>1</v>
      </c>
      <c r="L2" s="8" t="inlineStr">
        <is>
          <t>СУММ</t>
        </is>
      </c>
      <c r="M2" s="8" t="inlineStr">
        <is>
          <t>В E2 — сумма баллов за три тура, протяни до E7. Сколько у Мадины (E6)?</t>
        </is>
      </c>
      <c r="N2" s="8" t="inlineStr">
        <is>
          <t>E2 → протяни до E7; ответ в E6</t>
        </is>
      </c>
      <c r="O2" s="9">
        <f>IF(ISBLANK(E2),"—",IF(OR(NOT(_xlfn.ISFORMULA(E2)),NOT(_xlfn.ISFORMULA(E3)),NOT(_xlfn.ISFORMULA(E4)),NOT(_xlfn.ISFORMULA(E5)),NOT(_xlfn.ISFORMULA(E6)),NOT(_xlfn.ISFORMULA(E7))),"✗ нужна формула, а не готовый ответ (протяни формулу вниз)",IF(NOT(OR(ISNUMBER(SEARCH("СУММ(",IFERROR(_xlfn.FORMULATEXT(E2),""))),ISNUMBER(SEARCH("SUM(",IFERROR(_xlfn.FORMULATEXT(E2),""))))),"✗ нужна функция СУММ",IF(NOT(AND(IFERROR(ABS(E2-(SUM(B2:D2)))&lt;=0.01*MAX(1,ABS(SUM(B2:D2))),FALSE),IFERROR(ABS(E3-(SUM(B3:D3)))&lt;=0.01*MAX(1,ABS(SUM(B3:D3))),FALSE),IFERROR(ABS(E4-(SUM(B4:D4)))&lt;=0.01*MAX(1,ABS(SUM(B4:D4))),FALSE),IFERROR(ABS(E5-(SUM(B5:D5)))&lt;=0.01*MAX(1,ABS(SUM(B5:D5))),FALSE),IFERROR(ABS(E6-(SUM(B6:D6)))&lt;=0.01*MAX(1,ABS(SUM(B6:D6))),FALSE),IFERROR(ABS(E7-(SUM(B7:D7)))&lt;=0.01*MAX(1,ABS(SUM(B7:D7))),FALSE))),"✗ ответ неверный — проверь формулу и диапазон","✓ верно"))))</f>
        <v/>
      </c>
    </row>
    <row r="3">
      <c r="A3" s="6" t="inlineStr">
        <is>
          <t>Тимур</t>
        </is>
      </c>
      <c r="B3" s="6" t="n">
        <v>6</v>
      </c>
      <c r="C3" s="6" t="n">
        <v>7</v>
      </c>
      <c r="D3" s="6" t="n">
        <v>5</v>
      </c>
      <c r="E3" s="4" t="n"/>
      <c r="F3" s="4" t="n"/>
      <c r="G3" s="4" t="n"/>
      <c r="H3" s="6" t="n"/>
      <c r="I3" s="6" t="n"/>
      <c r="K3" s="8" t="n">
        <v>2</v>
      </c>
      <c r="L3" s="8" t="inlineStr">
        <is>
          <t>СРЗНАЧ</t>
        </is>
      </c>
      <c r="M3" s="8" t="inlineStr">
        <is>
          <t>В F2 — средний балл за тур, протяни до F7. Сколько у Тимура (F3)?</t>
        </is>
      </c>
      <c r="N3" s="8" t="inlineStr">
        <is>
          <t>F2 → протяни до F7; ответ в F3</t>
        </is>
      </c>
      <c r="O3" s="9">
        <f>IF(ISBLANK(F2),"—",IF(OR(NOT(_xlfn.ISFORMULA(F2)),NOT(_xlfn.ISFORMULA(F3)),NOT(_xlfn.ISFORMULA(F4)),NOT(_xlfn.ISFORMULA(F5)),NOT(_xlfn.ISFORMULA(F6)),NOT(_xlfn.ISFORMULA(F7))),"✗ нужна формула, а не готовый ответ (протяни формулу вниз)",IF(NOT(OR(ISNUMBER(SEARCH("СРЗНАЧ(",IFERROR(_xlfn.FORMULATEXT(F2),""))),ISNUMBER(SEARCH("AVERAGE(",IFERROR(_xlfn.FORMULATEXT(F2),""))))),"✗ нужна функция СРЗНАЧ",IF(NOT(AND(IFERROR(ABS(F2-(AVERAGE(B2:D2)))&lt;=0.01*MAX(1,ABS(AVERAGE(B2:D2))),FALSE),IFERROR(ABS(F3-(AVERAGE(B3:D3)))&lt;=0.01*MAX(1,ABS(AVERAGE(B3:D3))),FALSE),IFERROR(ABS(F4-(AVERAGE(B4:D4)))&lt;=0.01*MAX(1,ABS(AVERAGE(B4:D4))),FALSE),IFERROR(ABS(F5-(AVERAGE(B5:D5)))&lt;=0.01*MAX(1,ABS(AVERAGE(B5:D5))),FALSE),IFERROR(ABS(F6-(AVERAGE(B6:D6)))&lt;=0.01*MAX(1,ABS(AVERAGE(B6:D6))),FALSE),IFERROR(ABS(F7-(AVERAGE(B7:D7)))&lt;=0.01*MAX(1,ABS(AVERAGE(B7:D7))),FALSE))),"✗ ответ неверный — проверь формулу и диапазон","✓ верно"))))</f>
        <v/>
      </c>
    </row>
    <row r="4">
      <c r="A4" s="6" t="inlineStr">
        <is>
          <t>Дана</t>
        </is>
      </c>
      <c r="B4" s="6" t="n">
        <v>10</v>
      </c>
      <c r="C4" s="6" t="n">
        <v>8</v>
      </c>
      <c r="D4" s="6" t="n">
        <v>9</v>
      </c>
      <c r="E4" s="4" t="n"/>
      <c r="F4" s="4" t="n"/>
      <c r="G4" s="4" t="n"/>
      <c r="H4" s="6" t="n"/>
      <c r="I4" s="6" t="n"/>
      <c r="K4" s="8" t="n">
        <v>3</v>
      </c>
      <c r="L4" s="8" t="inlineStr">
        <is>
          <t>МАКС</t>
        </is>
      </c>
      <c r="M4" s="8" t="inlineStr">
        <is>
          <t>В G2 — лучший тур участника, протяни до G7. Какой лучший тур у Армана (G5)?</t>
        </is>
      </c>
      <c r="N4" s="8" t="inlineStr">
        <is>
          <t>G2 → протяни до G7; ответ в G5</t>
        </is>
      </c>
      <c r="O4" s="9">
        <f>IF(ISBLANK(G2),"—",IF(OR(NOT(_xlfn.ISFORMULA(G2)),NOT(_xlfn.ISFORMULA(G3)),NOT(_xlfn.ISFORMULA(G4)),NOT(_xlfn.ISFORMULA(G5)),NOT(_xlfn.ISFORMULA(G6)),NOT(_xlfn.ISFORMULA(G7))),"✗ нужна формула, а не готовый ответ (протяни формулу вниз)",IF(NOT(OR(ISNUMBER(SEARCH("МАКС(",IFERROR(_xlfn.FORMULATEXT(G2),""))),ISNUMBER(SEARCH("MAX(",IFERROR(_xlfn.FORMULATEXT(G2),""))))),"✗ нужна функция МАКС",IF(NOT(AND(IFERROR(ABS(G2-(MAX(B2:D2)))&lt;=0.01*MAX(1,ABS(MAX(B2:D2))),FALSE),IFERROR(ABS(G3-(MAX(B3:D3)))&lt;=0.01*MAX(1,ABS(MAX(B3:D3))),FALSE),IFERROR(ABS(G4-(MAX(B4:D4)))&lt;=0.01*MAX(1,ABS(MAX(B4:D4))),FALSE),IFERROR(ABS(G5-(MAX(B5:D5)))&lt;=0.01*MAX(1,ABS(MAX(B5:D5))),FALSE),IFERROR(ABS(G6-(MAX(B6:D6)))&lt;=0.01*MAX(1,ABS(MAX(B6:D6))),FALSE),IFERROR(ABS(G7-(MAX(B7:D7)))&lt;=0.01*MAX(1,ABS(MAX(B7:D7))),FALSE))),"✗ ответ неверный — проверь формулу и диапазон","✓ верно"))))</f>
        <v/>
      </c>
    </row>
    <row r="5">
      <c r="A5" s="6" t="inlineStr">
        <is>
          <t>Арман</t>
        </is>
      </c>
      <c r="B5" s="6" t="n">
        <v>4</v>
      </c>
      <c r="C5" s="6" t="n">
        <v>6</v>
      </c>
      <c r="D5" s="6" t="n">
        <v>7</v>
      </c>
      <c r="E5" s="4" t="n"/>
      <c r="F5" s="4" t="n"/>
      <c r="G5" s="4" t="n"/>
      <c r="H5" s="6" t="n"/>
      <c r="I5" s="6" t="n"/>
      <c r="K5" s="8" t="n">
        <v>4</v>
      </c>
      <c r="L5" s="8" t="inlineStr">
        <is>
          <t>лучшая сумма</t>
        </is>
      </c>
      <c r="M5" s="8" t="inlineStr">
        <is>
          <t>Какая самая большая сумма среди всех участников? Запиши в E8.</t>
        </is>
      </c>
      <c r="N5" s="8" t="inlineStr">
        <is>
          <t>E8</t>
        </is>
      </c>
      <c r="O5" s="9">
        <f>IF(ISBLANK(E8),"—",IF(OR(NOT(_xlfn.ISFORMULA(E8))),"✗ нужна формула, а не готовый ответ",IF(NOT(OR(ISNUMBER(SEARCH("МАКС(",IFERROR(_xlfn.FORMULATEXT(E8),""))),ISNUMBER(SEARCH("MAX(",IFERROR(_xlfn.FORMULATEXT(E8),""))))),"✗ нужна функция МАКС",IF(NOT(AND(IFERROR(ABS(E8-(MAX(E2:E7)))&lt;=0.01*MAX(1,ABS(MAX(E2:E7))),FALSE))),"✗ ответ неверный — проверь формулу и диапазон","✓ верно"))))</f>
        <v/>
      </c>
    </row>
    <row r="6">
      <c r="A6" s="6" t="inlineStr">
        <is>
          <t>Мадина</t>
        </is>
      </c>
      <c r="B6" s="6" t="n">
        <v>9</v>
      </c>
      <c r="C6" s="6" t="n">
        <v>10</v>
      </c>
      <c r="D6" s="6" t="n">
        <v>10</v>
      </c>
      <c r="E6" s="4" t="n"/>
      <c r="F6" s="4" t="n"/>
      <c r="G6" s="4" t="n"/>
      <c r="H6" s="4" t="n"/>
      <c r="I6" s="6" t="n"/>
      <c r="K6" s="8" t="n">
        <v>5</v>
      </c>
      <c r="L6" s="8" t="inlineStr">
        <is>
          <t>средняя сумма</t>
        </is>
      </c>
      <c r="M6" s="8" t="inlineStr">
        <is>
          <t>Какая средняя сумма баллов участников? Запиши в E9.</t>
        </is>
      </c>
      <c r="N6" s="8" t="inlineStr">
        <is>
          <t>E9</t>
        </is>
      </c>
      <c r="O6" s="9">
        <f>IF(ISBLANK(E9),"—",IF(OR(NOT(_xlfn.ISFORMULA(E9))),"✗ нужна формула, а не готовый ответ",IF(NOT(OR(ISNUMBER(SEARCH("СРЗНАЧ(",IFERROR(_xlfn.FORMULATEXT(E9),""))),ISNUMBER(SEARCH("AVERAGE(",IFERROR(_xlfn.FORMULATEXT(E9),""))))),"✗ нужна функция СРЗНАЧ",IF(NOT(AND(IFERROR(ABS(E9-(AVERAGE(E2:E7)))&lt;=0.01*MAX(1,ABS(AVERAGE(E2:E7))),FALSE))),"✗ ответ неверный — проверь формулу и диапазон","✓ верно"))))</f>
        <v/>
      </c>
    </row>
    <row r="7">
      <c r="A7" s="6" t="inlineStr">
        <is>
          <t>Ерлан</t>
        </is>
      </c>
      <c r="B7" s="6" t="n">
        <v>7</v>
      </c>
      <c r="C7" s="6" t="n">
        <v>5</v>
      </c>
      <c r="D7" s="6" t="n">
        <v>8</v>
      </c>
      <c r="E7" s="4" t="n"/>
      <c r="F7" s="4" t="n"/>
      <c r="G7" s="4" t="n"/>
      <c r="H7" s="6" t="n"/>
      <c r="I7" s="6" t="n"/>
      <c r="K7" s="8" t="n">
        <v>6</v>
      </c>
      <c r="L7" s="8" t="inlineStr">
        <is>
          <t>сложное: ЕСЛИ</t>
        </is>
      </c>
      <c r="M7" s="8" t="inlineStr">
        <is>
          <t>Мадина — призёр, если её сумма больше средней суммы (E9). Запиши в H6 «призёр» или «участник».</t>
        </is>
      </c>
      <c r="N7" s="8" t="inlineStr">
        <is>
          <t>H6</t>
        </is>
      </c>
      <c r="O7" s="9">
        <f>IF(ISBLANK(H6),"—",IF(OR(NOT(_xlfn.ISFORMULA(H6))),"✗ нужна формула, а не готовый ответ",IF(NOT(OR(ISNUMBER(SEARCH("ЕСЛИ(",IFERROR(_xlfn.FORMULATEXT(H6),""))),ISNUMBER(SEARCH("IF(",IFERROR(_xlfn.FORMULATEXT(H6),""))))),"✗ нужна функция ЕСЛИ",IF(NOT(AND(IFERROR(SUBSTITUTE(LOWER(H6&amp;""),"ё","е")=SUBSTITUTE(LOWER((IF(E6&gt;E9,"призёр","участник"))&amp;""),"ё","е"),FALSE))),"✗ ответ неверный — проверь формулу и диапазон","✓ верно"))))</f>
        <v/>
      </c>
    </row>
    <row r="8">
      <c r="A8" s="6" t="inlineStr">
        <is>
          <t>Лучшая сумма</t>
        </is>
      </c>
      <c r="B8" s="6" t="n"/>
      <c r="C8" s="6" t="n"/>
      <c r="D8" s="6" t="n"/>
      <c r="E8" s="4" t="n"/>
      <c r="F8" s="6" t="n"/>
      <c r="G8" s="6" t="n"/>
      <c r="H8" s="6" t="n"/>
      <c r="I8" s="6" t="n"/>
    </row>
    <row r="9">
      <c r="A9" s="6" t="inlineStr">
        <is>
          <t>Средняя сумма</t>
        </is>
      </c>
      <c r="B9" s="6" t="n"/>
      <c r="C9" s="6" t="n"/>
      <c r="D9" s="6" t="n"/>
      <c r="E9" s="4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2" max="2"/>
    <col width="22" customWidth="1" min="3" max="3"/>
  </cols>
  <sheetData>
    <row r="1">
      <c r="A1" s="1" t="inlineStr">
        <is>
          <t>Итог самопроверки</t>
        </is>
      </c>
    </row>
    <row r="2">
      <c r="A2">
        <f>"Ученик: "&amp;Начало!B4&amp;", "&amp;Начало!B3</f>
        <v/>
      </c>
    </row>
    <row r="4">
      <c r="A4" s="7" t="inlineStr">
        <is>
          <t>Сценарий</t>
        </is>
      </c>
      <c r="B4" s="7" t="inlineStr">
        <is>
          <t>Название</t>
        </is>
      </c>
      <c r="C4" s="7" t="inlineStr">
        <is>
          <t>Функции</t>
        </is>
      </c>
      <c r="D4" s="7" t="inlineStr">
        <is>
          <t>Верно</t>
        </is>
      </c>
      <c r="E4" s="7" t="inlineStr">
        <is>
          <t>Всего</t>
        </is>
      </c>
    </row>
    <row r="5">
      <c r="A5" t="inlineStr">
        <is>
          <t>S1</t>
        </is>
      </c>
      <c r="B5" t="inlineStr">
        <is>
          <t>Журнал четверти</t>
        </is>
      </c>
      <c r="C5" t="inlineStr">
        <is>
          <t>СРЗНАЧ</t>
        </is>
      </c>
      <c r="D5">
        <f>COUNTIF(S1!O2:O7,"✓*")</f>
        <v/>
      </c>
      <c r="E5" t="n">
        <v>6</v>
      </c>
    </row>
    <row r="6">
      <c r="A6" t="inlineStr">
        <is>
          <t>S2</t>
        </is>
      </c>
      <c r="B6" t="inlineStr">
        <is>
          <t>Погода за неделю</t>
        </is>
      </c>
      <c r="C6" t="inlineStr">
        <is>
          <t>МАКС · МИН</t>
        </is>
      </c>
      <c r="D6">
        <f>COUNTIF(S2!O2:O7,"✓*")</f>
        <v/>
      </c>
      <c r="E6" t="n">
        <v>6</v>
      </c>
    </row>
    <row r="7">
      <c r="A7" t="inlineStr">
        <is>
          <t>S3</t>
        </is>
      </c>
      <c r="B7" t="inlineStr">
        <is>
          <t>Спорт: лучший результат</t>
        </is>
      </c>
      <c r="C7" t="inlineStr">
        <is>
          <t>МАКС или МИН</t>
        </is>
      </c>
      <c r="D7">
        <f>COUNTIF(S3!O2:O7,"✓*")</f>
        <v/>
      </c>
      <c r="E7" t="n">
        <v>6</v>
      </c>
    </row>
    <row r="8">
      <c r="A8" t="inlineStr">
        <is>
          <t>S4</t>
        </is>
      </c>
      <c r="B8" t="inlineStr">
        <is>
          <t>Магазины: где дешевле</t>
        </is>
      </c>
      <c r="C8" t="inlineStr">
        <is>
          <t>МИН · МАКС · СРЗНАЧ</t>
        </is>
      </c>
      <c r="D8">
        <f>COUNTIF(S4!O2:O7,"✓*")</f>
        <v/>
      </c>
      <c r="E8" t="n">
        <v>6</v>
      </c>
    </row>
    <row r="9">
      <c r="A9" t="inlineStr">
        <is>
          <t>S5</t>
        </is>
      </c>
      <c r="B9" t="inlineStr">
        <is>
          <t>Олимпиада</t>
        </is>
      </c>
      <c r="C9" t="inlineStr">
        <is>
          <t>Все вместе + ЕСЛИ</t>
        </is>
      </c>
      <c r="D9">
        <f>COUNTIF(S5!O2:O7,"✓*")</f>
        <v/>
      </c>
      <c r="E9" t="n">
        <v>6</v>
      </c>
    </row>
    <row r="10">
      <c r="B10" s="10" t="inlineStr">
        <is>
          <t>Всего</t>
        </is>
      </c>
      <c r="D10" s="10">
        <f>SUM(D5:D9)</f>
        <v/>
      </c>
      <c r="E10" s="10">
        <f>SUM(E5:E9)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2026-10-24T17:31:32Z</dcterms:created>
  <dcterms:modified xmlns:dcterms="http://purl.org/dc/terms/" xmlns:xsi="http://www.w3.org/2001/XMLSchema-instance" xsi:type="dcterms:W3CDTF">2026-10-24T17:31:32Z</dcterms:modified>
</cp:coreProperties>
</file>