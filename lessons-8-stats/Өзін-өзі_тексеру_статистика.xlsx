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сы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Қорытынд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Өзін-өзі тексеру: Excel-дегі статистикалық функциялар</t>
        </is>
      </c>
    </row>
    <row r="2">
      <c r="A2" s="2" t="inlineStr"/>
    </row>
    <row r="3">
      <c r="A3" s="3" t="inlineStr">
        <is>
          <t>Сынып:</t>
        </is>
      </c>
      <c r="B3" s="4" t="n"/>
    </row>
    <row r="4">
      <c r="A4" s="3" t="inlineStr">
        <is>
          <t>Тегі мен аты:</t>
        </is>
      </c>
      <c r="B4" s="4" t="n"/>
    </row>
    <row r="5">
      <c r="A5" s="2" t="inlineStr"/>
    </row>
    <row r="6">
      <c r="A6" s="3" t="inlineStr">
        <is>
          <t>Қалай жұмыс істеу керек</t>
        </is>
      </c>
    </row>
    <row r="7">
      <c r="A7" s="2" t="inlineStr">
        <is>
          <t>1. Сценарий парағын аш (S1–S5). Деректері бар кесте дайын.</t>
        </is>
      </c>
    </row>
    <row r="8">
      <c r="A8" s="2" t="inlineStr">
        <is>
          <t>2. Оң жақта — қадамдар. Формуланы қадамда көрсетілген сары ұяшыққа жаз.</t>
        </is>
      </c>
    </row>
    <row r="9">
      <c r="A9" s="2" t="inlineStr">
        <is>
          <t>3. «Төмен созып көшір» — формуланы ұяшықтың оң жақ төменгі бұрышындағы кішкентай шаршыдан тарт.</t>
        </is>
      </c>
    </row>
    <row r="10">
      <c r="A10" s="2" t="inlineStr">
        <is>
          <t>4. «Тексеру» бағанында Excel бірден көрсетеді: ✓ дұрыс — немесе нені түзету керек.</t>
        </is>
      </c>
    </row>
    <row r="11">
      <c r="A11" s="2" t="inlineStr">
        <is>
          <t>5. «Өзгерт…» қадамдары — кестедегі деректерді өзгерт, формулаларға тиме.</t>
        </is>
      </c>
    </row>
    <row r="12">
      <c r="A12" s="2" t="inlineStr">
        <is>
          <t>6. Жалпы есеп — «Қорытынды» парағында.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Оқушы</t>
        </is>
      </c>
      <c r="B1" s="5" t="inlineStr">
        <is>
          <t>СОР 1</t>
        </is>
      </c>
      <c r="C1" s="5" t="inlineStr">
        <is>
          <t>СОР 2</t>
        </is>
      </c>
      <c r="D1" s="5" t="inlineStr">
        <is>
          <t>СОР 3</t>
        </is>
      </c>
      <c r="E1" s="5" t="inlineStr">
        <is>
          <t>СОЧ</t>
        </is>
      </c>
      <c r="F1" s="5" t="inlineStr">
        <is>
          <t>Орташа</t>
        </is>
      </c>
      <c r="G1" s="5" t="inlineStr">
        <is>
          <t>Қолмен</t>
        </is>
      </c>
      <c r="H1" s="5" t="inlineStr">
        <is>
          <t>Белгі</t>
        </is>
      </c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5</v>
      </c>
      <c r="C2" s="6" t="n">
        <v>4</v>
      </c>
      <c r="D2" s="6" t="n">
        <v>5</v>
      </c>
      <c r="E2" s="6" t="n">
        <v>5</v>
      </c>
      <c r="F2" s="4" t="n"/>
      <c r="G2" s="4" t="n"/>
      <c r="H2" s="4" t="n"/>
      <c r="I2" s="6" t="n"/>
      <c r="K2" s="8" t="n">
        <v>1</v>
      </c>
      <c r="L2" s="8" t="inlineStr">
        <is>
          <t>жол бойынша орташа</t>
        </is>
      </c>
      <c r="M2" s="8" t="inlineStr">
        <is>
          <t>F2-де Айдананың төрт жұмыс бойынша орташа балын тап та, формуланы F7-ге дейін созып көшір. Арманның орташа балы қандай (F5)?</t>
        </is>
      </c>
      <c r="N2" s="8" t="inlineStr">
        <is>
          <t>F2 → F7 ұяшығына дейін созып көшір; жауап F5 ұяшығында</t>
        </is>
      </c>
      <c r="O2" s="9">
        <f>IF(ISBLANK(F2),"—",IF(OR(NOT(_xlfn.ISFORMULA(F2)),NOT(_xlfn.ISFORMULA(F3)),NOT(_xlfn.ISFORMULA(F4)),NOT(_xlfn.ISFORMULA(F5)),NOT(_xlfn.ISFORMULA(F6)),NOT(_xlfn.ISFORMULA(F7))),"✗ дайын жауап емес, формула керек (формуланы төмен созып көшір)",IF(NOT(OR(ISNUMBER(SEARCH("СРЗНАЧ(",IFERROR(_xlfn.FORMULATEXT(F2),""))),ISNUMBER(SEARCH("AVERAGE(",IFERROR(_xlfn.FORMULATEXT(F2),""))))),"✗ СРЗНАЧ функциясы керек",IF(NOT(AND(IFERROR(ABS(F2-(AVERAGE(B2:E2)))&lt;=0.01*MAX(1,ABS(AVERAGE(B2:E2))),FALSE),IFERROR(ABS(F3-(AVERAGE(B3:E3)))&lt;=0.01*MAX(1,ABS(AVERAGE(B3:E3))),FALSE),IFERROR(ABS(F4-(AVERAGE(B4:E4)))&lt;=0.01*MAX(1,ABS(AVERAGE(B4:E4))),FALSE),IFERROR(ABS(F5-(AVERAGE(B5:E5)))&lt;=0.01*MAX(1,ABS(AVERAGE(B5:E5))),FALSE),IFERROR(ABS(F6-(AVERAGE(B6:E6)))&lt;=0.01*MAX(1,ABS(AVERAGE(B6:E6))),FALSE),IFERROR(ABS(F7-(AVERAGE(B7:E7)))&lt;=0.01*MAX(1,ABS(AVERAGE(B7:E7))),FALSE))),"✗ жауап дұрыс емес — формула мен ауқымды тексер","✓ дұрыс"))))</f>
        <v/>
      </c>
    </row>
    <row r="3">
      <c r="A3" s="6" t="inlineStr">
        <is>
          <t>Тимур</t>
        </is>
      </c>
      <c r="B3" s="6" t="n">
        <v>3</v>
      </c>
      <c r="C3" s="6" t="n">
        <v>4</v>
      </c>
      <c r="D3" s="6" t="n">
        <v>3</v>
      </c>
      <c r="E3" s="6" t="n">
        <v>4</v>
      </c>
      <c r="F3" s="4" t="n"/>
      <c r="G3" s="6" t="n"/>
      <c r="H3" s="4" t="n"/>
      <c r="I3" s="6" t="n"/>
      <c r="K3" s="8" t="n">
        <v>2</v>
      </c>
      <c r="L3" s="8" t="inlineStr">
        <is>
          <t>баған бойынша орташа</t>
        </is>
      </c>
      <c r="M3" s="8" t="inlineStr">
        <is>
          <t>Сыныптың БЖБ 1 бойынша орташа бағасы қандай? B8-ге жаз. Үтірден кейін таңба көп шықса — «Разрядтылықты азайту» батырмасын бас.</t>
        </is>
      </c>
      <c r="N3" s="8" t="inlineStr">
        <is>
          <t>B8</t>
        </is>
      </c>
      <c r="O3" s="9">
        <f>IF(ISBLANK(B8),"—",IF(OR(NOT(_xlfn.ISFORMULA(B8))),"✗ дайын жауап емес, формула керек",IF(NOT(OR(ISNUMBER(SEARCH("СРЗНАЧ(",IFERROR(_xlfn.FORMULATEXT(B8),""))),ISNUMBER(SEARCH("AVERAGE(",IFERROR(_xlfn.FORMULATEXT(B8),""))))),"✗ СРЗНАЧ функциясы керек",IF(NOT(AND(IFERROR(ABS(B8-(AVERAGE(B2:B7)))&lt;=0.01*MAX(1,ABS(AVERAGE(B2:B7))),FALSE))),"✗ жауап дұрыс емес — формула мен ауқымды тексер","✓ дұрыс"))))</f>
        <v/>
      </c>
    </row>
    <row r="4">
      <c r="A4" s="6" t="inlineStr">
        <is>
          <t>Дана</t>
        </is>
      </c>
      <c r="B4" s="6" t="n">
        <v>5</v>
      </c>
      <c r="C4" s="6" t="n">
        <v>5</v>
      </c>
      <c r="D4" s="6" t="n">
        <v>4</v>
      </c>
      <c r="E4" s="6" t="n">
        <v>5</v>
      </c>
      <c r="F4" s="4" t="n"/>
      <c r="G4" s="6" t="n"/>
      <c r="H4" s="4" t="n"/>
      <c r="I4" s="6" t="n"/>
      <c r="K4" s="8" t="n">
        <v>3</v>
      </c>
      <c r="L4" s="8" t="inlineStr">
        <is>
          <t>қолмен</t>
        </is>
      </c>
      <c r="M4" s="8" t="inlineStr">
        <is>
          <t>Функцияны тексер: G2-де Айдананың орташасын «қолмен» есепте — қосындыны бағалар санына бөл. F2-мен сәйкес келді ме?</t>
        </is>
      </c>
      <c r="N4" s="8" t="inlineStr">
        <is>
          <t>G2</t>
        </is>
      </c>
      <c r="O4" s="9">
        <f>IF(ISBLANK(G2),"—",IF(OR(NOT(_xlfn.ISFORMULA(G2))),"✗ дайын жауап емес, формула керек",IF(NOT(OR(ISNUMBER(SEARCH("СУММ(",IFERROR(_xlfn.FORMULATEXT(G2),""))),ISNUMBER(SEARCH("SUM(",IFERROR(_xlfn.FORMULATEXT(G2),""))))),"✗ СУММ функциясы керек",IF(NOT(AND(IFERROR(ABS(G2-(SUM(B2:E2)/4))&lt;=0.01*MAX(1,ABS(SUM(B2:E2)/4)),FALSE))),"✗ жауап дұрыс емес — формула мен ауқымды тексер","✓ дұрыс"))))</f>
        <v/>
      </c>
    </row>
    <row r="5">
      <c r="A5" s="6" t="inlineStr">
        <is>
          <t>Арман</t>
        </is>
      </c>
      <c r="B5" s="6" t="n">
        <v>2</v>
      </c>
      <c r="C5" s="6" t="n">
        <v>3</v>
      </c>
      <c r="D5" s="6" t="n">
        <v>4</v>
      </c>
      <c r="E5" s="6" t="n">
        <v>3</v>
      </c>
      <c r="F5" s="4" t="n"/>
      <c r="G5" s="6" t="n"/>
      <c r="H5" s="4" t="n"/>
      <c r="I5" s="6" t="n"/>
      <c r="K5" s="8" t="n">
        <v>4</v>
      </c>
      <c r="L5" s="8" t="inlineStr">
        <is>
          <t>белгі</t>
        </is>
      </c>
      <c r="M5" s="8" t="inlineStr">
        <is>
          <t>H2-де: орташа балл 4,5 немесе одан жоғары болса — «өте жақсы», әйтпесе ұяшықты бос қалдыр (""). H7-ге дейін созып көшір. Айданада не (H2)?</t>
        </is>
      </c>
      <c r="N5" s="8" t="inlineStr">
        <is>
          <t>H2 → H7 ұяшығына дейін созып көшір; жауап H2 ұяшығында</t>
        </is>
      </c>
      <c r="O5" s="9">
        <f>IF(ISBLANK(H2),"—",IF(OR(NOT(_xlfn.ISFORMULA(H2)),NOT(_xlfn.ISFORMULA(H3)),NOT(_xlfn.ISFORMULA(H4)),NOT(_xlfn.ISFORMULA(H5)),NOT(_xlfn.ISFORMULA(H6)),NOT(_xlfn.ISFORMULA(H7))),"✗ дайын жауап емес, формула керек (формуланы төмен созып көшір)",IF(NOT(OR(ISNUMBER(SEARCH("ЕСЛИ(",IFERROR(_xlfn.FORMULATEXT(H2),""))),ISNUMBER(SEARCH("IF(",IFERROR(_xlfn.FORMULATEXT(H2),""))))),"✗ ЕСЛИ функциясы керек",IF(NOT(AND(IFERROR(SUBSTITUTE(LOWER(H2&amp;""),"ё","е")=SUBSTITUTE(LOWER((IF(F2&gt;=4.5,"өте жақсы",""))&amp;""),"ё","е"),FALSE),IFERROR(SUBSTITUTE(LOWER(H3&amp;""),"ё","е")=SUBSTITUTE(LOWER((IF(F3&gt;=4.5,"өте жақсы",""))&amp;""),"ё","е"),FALSE),IFERROR(SUBSTITUTE(LOWER(H4&amp;""),"ё","е")=SUBSTITUTE(LOWER((IF(F4&gt;=4.5,"өте жақсы",""))&amp;""),"ё","е"),FALSE),IFERROR(SUBSTITUTE(LOWER(H5&amp;""),"ё","е")=SUBSTITUTE(LOWER((IF(F5&gt;=4.5,"өте жақсы",""))&amp;""),"ё","е"),FALSE),IFERROR(SUBSTITUTE(LOWER(H6&amp;""),"ё","е")=SUBSTITUTE(LOWER((IF(F6&gt;=4.5,"өте жақсы",""))&amp;""),"ё","е"),FALSE),IFERROR(SUBSTITUTE(LOWER(H7&amp;""),"ё","е")=SUBSTITUTE(LOWER((IF(F7&gt;=4.5,"өте жақсы",""))&amp;""),"ё","е"),FALSE))),"✗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4</v>
      </c>
      <c r="C6" s="6" t="n">
        <v>5</v>
      </c>
      <c r="D6" s="6" t="n">
        <v>5</v>
      </c>
      <c r="E6" s="6" t="n">
        <v>4</v>
      </c>
      <c r="F6" s="4" t="n"/>
      <c r="G6" s="6" t="n"/>
      <c r="H6" s="4" t="n"/>
      <c r="I6" s="6" t="n"/>
      <c r="K6" s="8" t="n">
        <v>5</v>
      </c>
      <c r="L6" s="8" t="inlineStr">
        <is>
          <t>күрделі: босату</t>
        </is>
      </c>
      <c r="M6" s="8" t="inlineStr">
        <is>
          <t>Тимур БЖБ 2-ні жазбады. C3-ті тазала — ұяшық бос болуы керек. Енді F3-те не тұр? Орташа неге өзгерді?</t>
        </is>
      </c>
      <c r="N6" s="8" t="inlineStr">
        <is>
          <t>C3 ұяшығын тазала; жауап F3 ұяшығында</t>
        </is>
      </c>
      <c r="O6" s="9">
        <f>IF(ISBLANK(F3),"—",IF(NOT(AND(C3="")),"✗ алдымен C3 ұяшығын тазала",IF(OR(NOT(_xlfn.ISFORMULA(F3))),"✗ дайын жауап емес, формула керек",IF(NOT(AND(IFERROR(ABS(F3-(AVERAGE(B3:E3)))&lt;=0.01*MAX(1,ABS(AVERAGE(B3:E3))),FALSE))),"✗ жауап дұрыс емес — формула мен ауқымды тексер","✓ дұрыс"))))</f>
        <v/>
      </c>
    </row>
    <row r="7">
      <c r="A7" s="6" t="inlineStr">
        <is>
          <t>Ерлан</t>
        </is>
      </c>
      <c r="B7" s="6" t="n">
        <v>4</v>
      </c>
      <c r="C7" s="6" t="n">
        <v>4</v>
      </c>
      <c r="D7" s="6" t="n">
        <v>3</v>
      </c>
      <c r="E7" s="6" t="n">
        <v>5</v>
      </c>
      <c r="F7" s="4" t="n"/>
      <c r="G7" s="6" t="n"/>
      <c r="H7" s="4" t="n"/>
      <c r="I7" s="6" t="n"/>
      <c r="K7" s="8" t="n">
        <v>6</v>
      </c>
      <c r="L7" s="8" t="inlineStr">
        <is>
          <t>күрделі: нөл</t>
        </is>
      </c>
      <c r="M7" s="8" t="inlineStr">
        <is>
          <t>Ерлан да жұмысты өткізіп алды — БЖБ 3, бірақ оған нөл қойылды. D7-ге нөл жаз. F7-де не болды? Тимурмен салыстыр: неге нөл орташа балды төмендетеді, ал бос ұяшық төмендетпейді?</t>
        </is>
      </c>
      <c r="N7" s="8" t="inlineStr">
        <is>
          <t>D7 мәнін 0 деп өзгерт; жауап F7 ұяшығында</t>
        </is>
      </c>
      <c r="O7" s="9">
        <f>IF(ISBLANK(F7),"—",IF(NOT(AND(D7=0)),"✗ алдымен D7 мәнін 0 деп өзгерт",IF(OR(NOT(_xlfn.ISFORMULA(F7))),"✗ дайын жауап емес, формула керек",IF(NOT(AND(IFERROR(ABS(F7-(AVERAGE(B7:E7)))&lt;=0.01*MAX(1,ABS(AVERAGE(B7:E7))),FALSE))),"✗ жауап дұрыс емес — формула мен ауқымды тексер","✓ дұрыс"))))</f>
        <v/>
      </c>
    </row>
    <row r="8">
      <c r="A8" s="6" t="inlineStr">
        <is>
          <t>Сынып</t>
        </is>
      </c>
      <c r="B8" s="4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Күн</t>
        </is>
      </c>
      <c r="B1" s="5" t="inlineStr">
        <is>
          <t>Күндіз</t>
        </is>
      </c>
      <c r="C1" s="5" t="inlineStr">
        <is>
          <t>Түнде</t>
        </is>
      </c>
      <c r="D1" s="5" t="inlineStr">
        <is>
          <t>Айырмашылық</t>
        </is>
      </c>
      <c r="E1" s="6" t="n"/>
      <c r="F1" s="6" t="n"/>
      <c r="G1" s="6" t="n"/>
      <c r="H1" s="6" t="n"/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Дс</t>
        </is>
      </c>
      <c r="B2" s="6" t="n">
        <v>14</v>
      </c>
      <c r="C2" s="6" t="n">
        <v>5</v>
      </c>
      <c r="D2" s="4" t="n"/>
      <c r="E2" s="6" t="n"/>
      <c r="F2" s="6" t="n"/>
      <c r="G2" s="6" t="n"/>
      <c r="H2" s="6" t="n"/>
      <c r="I2" s="6" t="n"/>
      <c r="K2" s="8" t="n">
        <v>1</v>
      </c>
      <c r="L2" s="8" t="inlineStr">
        <is>
          <t>МАКС</t>
        </is>
      </c>
      <c r="M2" s="8" t="inlineStr">
        <is>
          <t>Ең жоғары күндізгі температура қандай болды? B10-ға жаз.</t>
        </is>
      </c>
      <c r="N2" s="8" t="inlineStr">
        <is>
          <t>B10</t>
        </is>
      </c>
      <c r="O2" s="9">
        <f>IF(ISBLANK(B10),"—",IF(OR(NOT(_xlfn.ISFORMULA(B10))),"✗ дайын жауап емес, формула керек",IF(NOT(OR(ISNUMBER(SEARCH("МАКС(",IFERROR(_xlfn.FORMULATEXT(B10),""))),ISNUMBER(SEARCH("MAX(",IFERROR(_xlfn.FORMULATEXT(B10),""))))),"✗ МАКС функциясы керек",IF(NOT(AND(IFERROR(ABS(B10-(MAX(B2:B8)))&lt;=0.01*MAX(1,ABS(MAX(B2:B8))),FALSE))),"✗ жауап дұрыс емес — формула мен ауқымды тексер","✓ дұрыс"))))</f>
        <v/>
      </c>
    </row>
    <row r="3">
      <c r="A3" s="6" t="inlineStr">
        <is>
          <t>Сс</t>
        </is>
      </c>
      <c r="B3" s="6" t="n">
        <v>16</v>
      </c>
      <c r="C3" s="6" t="n">
        <v>7</v>
      </c>
      <c r="D3" s="4" t="n"/>
      <c r="E3" s="6" t="n"/>
      <c r="F3" s="6" t="n"/>
      <c r="G3" s="6" t="n"/>
      <c r="H3" s="6" t="n"/>
      <c r="I3" s="6" t="n"/>
      <c r="K3" s="8" t="n">
        <v>2</v>
      </c>
      <c r="L3" s="8" t="inlineStr">
        <is>
          <t>МИН</t>
        </is>
      </c>
      <c r="M3" s="8" t="inlineStr">
        <is>
          <t>Ең суық түн қандай болды? C11-ге жаз.</t>
        </is>
      </c>
      <c r="N3" s="8" t="inlineStr">
        <is>
          <t>C11</t>
        </is>
      </c>
      <c r="O3" s="9">
        <f>IF(ISBLANK(C11),"—",IF(OR(NOT(_xlfn.ISFORMULA(C11))),"✗ дайын жауап емес, формула керек",IF(NOT(OR(ISNUMBER(SEARCH("МИН(",IFERROR(_xlfn.FORMULATEXT(C11),""))),ISNUMBER(SEARCH("MIN(",IFERROR(_xlfn.FORMULATEXT(C11),""))))),"✗ МИН функциясы керек",IF(NOT(AND(IFERROR(ABS(C11-(MIN(C2:C8)))&lt;=0.01*MAX(1,ABS(MIN(C2:C8))),FALSE))),"✗ жауап дұрыс емес — формула мен ауқымды тексер","✓ дұрыс"))))</f>
        <v/>
      </c>
    </row>
    <row r="4">
      <c r="A4" s="6" t="inlineStr">
        <is>
          <t>Ср</t>
        </is>
      </c>
      <c r="B4" s="6" t="n">
        <v>11</v>
      </c>
      <c r="C4" s="6" t="n">
        <v>2</v>
      </c>
      <c r="D4" s="4" t="n"/>
      <c r="E4" s="6" t="n"/>
      <c r="F4" s="6" t="n"/>
      <c r="G4" s="6" t="n"/>
      <c r="H4" s="6" t="n"/>
      <c r="I4" s="6" t="n"/>
      <c r="K4" s="8" t="n">
        <v>3</v>
      </c>
      <c r="L4" s="8" t="inlineStr">
        <is>
          <t>Түнгі МАКС</t>
        </is>
      </c>
      <c r="M4" s="8" t="inlineStr">
        <is>
          <t>Ең жылы түн қандай болды? C10-ға жаз.</t>
        </is>
      </c>
      <c r="N4" s="8" t="inlineStr">
        <is>
          <t>C10</t>
        </is>
      </c>
      <c r="O4" s="9">
        <f>IF(ISBLANK(C10),"—",IF(OR(NOT(_xlfn.ISFORMULA(C10))),"✗ дайын жауап емес, формула керек",IF(NOT(OR(ISNUMBER(SEARCH("МАКС(",IFERROR(_xlfn.FORMULATEXT(C10),""))),ISNUMBER(SEARCH("MAX(",IFERROR(_xlfn.FORMULATEXT(C10),""))))),"✗ МАКС функциясы керек",IF(NOT(AND(IFERROR(ABS(C10-(MAX(C2:C8)))&lt;=0.01*MAX(1,ABS(MAX(C2:C8))),FALSE))),"✗ жауап дұрыс емес — формула мен ауқымды тексер","✓ дұрыс"))))</f>
        <v/>
      </c>
    </row>
    <row r="5">
      <c r="A5" s="6" t="inlineStr">
        <is>
          <t>Бс</t>
        </is>
      </c>
      <c r="B5" s="6" t="n">
        <v>18</v>
      </c>
      <c r="C5" s="6" t="n">
        <v>8</v>
      </c>
      <c r="D5" s="4" t="n"/>
      <c r="E5" s="6" t="n"/>
      <c r="F5" s="6" t="n"/>
      <c r="G5" s="6" t="n"/>
      <c r="H5" s="6" t="n"/>
      <c r="I5" s="6" t="n"/>
      <c r="K5" s="8" t="n">
        <v>4</v>
      </c>
      <c r="L5" s="8" t="inlineStr">
        <is>
          <t>СРЗНАЧ</t>
        </is>
      </c>
      <c r="M5" s="8" t="inlineStr">
        <is>
          <t>Орташа күндізгі температура қандай? B12-ге жаз.</t>
        </is>
      </c>
      <c r="N5" s="8" t="inlineStr">
        <is>
          <t>B12</t>
        </is>
      </c>
      <c r="O5" s="9">
        <f>IF(ISBLANK(B12),"—",IF(OR(NOT(_xlfn.ISFORMULA(B12))),"✗ дайын жауап емес, формула керек",IF(NOT(OR(ISNUMBER(SEARCH("СРЗНАЧ(",IFERROR(_xlfn.FORMULATEXT(B12),""))),ISNUMBER(SEARCH("AVERAGE(",IFERROR(_xlfn.FORMULATEXT(B12),""))))),"✗ СРЗНАЧ функциясы керек",IF(NOT(AND(IFERROR(ABS(B12-(AVERAGE(B2:B8)))&lt;=0.01*MAX(1,ABS(AVERAGE(B2:B8))),FALSE))),"✗ жауап дұрыс емес — формула мен ауқымды тексер","✓ дұрыс"))))</f>
        <v/>
      </c>
    </row>
    <row r="6">
      <c r="A6" s="6" t="inlineStr">
        <is>
          <t>Жм</t>
        </is>
      </c>
      <c r="B6" s="6" t="n">
        <v>20</v>
      </c>
      <c r="C6" s="6" t="n">
        <v>9</v>
      </c>
      <c r="D6" s="4" t="n"/>
      <c r="E6" s="6" t="n"/>
      <c r="F6" s="6" t="n"/>
      <c r="G6" s="6" t="n"/>
      <c r="H6" s="6" t="n"/>
      <c r="I6" s="6" t="n"/>
      <c r="K6" s="8" t="n">
        <v>5</v>
      </c>
      <c r="L6" s="8" t="inlineStr">
        <is>
          <t>құлаш</t>
        </is>
      </c>
      <c r="M6" s="8" t="inlineStr">
        <is>
          <t>Күндізгі температураның құлашы — ең жылы және ең суық күннің айырмасы. B13-те бір формула.</t>
        </is>
      </c>
      <c r="N6" s="8" t="inlineStr">
        <is>
          <t>B13</t>
        </is>
      </c>
      <c r="O6" s="9">
        <f>IF(ISBLANK(B13),"—",IF(OR(NOT(_xlfn.ISFORMULA(B13))),"✗ дайын жауап емес, формула керек",IF(NOT(OR(ISNUMBER(SEARCH("МАКС(",IFERROR(_xlfn.FORMULATEXT(B13),""))),ISNUMBER(SEARCH("MAX(",IFERROR(_xlfn.FORMULATEXT(B13),""))))),"✗ МАКС функциясы керек",IF(NOT(OR(ISNUMBER(SEARCH("МИН(",IFERROR(_xlfn.FORMULATEXT(B13),""))),ISNUMBER(SEARCH("MIN(",IFERROR(_xlfn.FORMULATEXT(B13),""))))),"✗ МИН функциясы керек",IF(NOT(AND(IFERROR(ABS(B13-(MAX(B2:B8)-MIN(B2:B8)))&lt;=0.01*MAX(1,ABS(MAX(B2:B8)-MIN(B2:B8))),FALSE))),"✗ жауап дұрыс емес — формула мен ауқымды тексер","✓ дұрыс")))))</f>
        <v/>
      </c>
    </row>
    <row r="7">
      <c r="A7" s="6" t="inlineStr">
        <is>
          <t>Сн</t>
        </is>
      </c>
      <c r="B7" s="6" t="n">
        <v>17</v>
      </c>
      <c r="C7" s="6" t="n">
        <v>6</v>
      </c>
      <c r="D7" s="4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күрделі: айырмашылық</t>
        </is>
      </c>
      <c r="M7" s="8" t="inlineStr">
        <is>
          <t>Күндіз түндегіден қанша жылы? D2-ге жазып, D8-ге дейін созып көшір. Жексенбіде айырмашылық қандай (D8)?</t>
        </is>
      </c>
      <c r="N7" s="8" t="inlineStr">
        <is>
          <t>D2 → D8 ұяшығына дейін созып көшір; жауап D8 ұяшығында</t>
        </is>
      </c>
      <c r="O7" s="9">
        <f>IF(ISBLANK(D2),"—",IF(OR(NOT(_xlfn.ISFORMULA(D2)),NOT(_xlfn.ISFORMULA(D3)),NOT(_xlfn.ISFORMULA(D4)),NOT(_xlfn.ISFORMULA(D5)),NOT(_xlfn.ISFORMULA(D6)),NOT(_xlfn.ISFORMULA(D7)),NOT(_xlfn.ISFORMULA(D8))),"✗ дайын жауап емес, формула керек (формуланы төмен созып көшір)",IF(NOT(AND(IFERROR(ABS(D2-(B2-C2))&lt;=0.01*MAX(1,ABS(B2-C2)),FALSE),IFERROR(ABS(D3-(B3-C3))&lt;=0.01*MAX(1,ABS(B3-C3)),FALSE),IFERROR(ABS(D4-(B4-C4))&lt;=0.01*MAX(1,ABS(B4-C4)),FALSE),IFERROR(ABS(D5-(B5-C5))&lt;=0.01*MAX(1,ABS(B5-C5)),FALSE),IFERROR(ABS(D6-(B6-C6))&lt;=0.01*MAX(1,ABS(B6-C6)),FALSE),IFERROR(ABS(D7-(B7-C7))&lt;=0.01*MAX(1,ABS(B7-C7)),FALSE),IFERROR(ABS(D8-(B8-C8))&lt;=0.01*MAX(1,ABS(B8-C8)),FALSE))),"✗ жауап дұрыс емес — формула мен ауқымды тексер","✓ дұрыс")))</f>
        <v/>
      </c>
    </row>
    <row r="8">
      <c r="A8" s="6" t="inlineStr">
        <is>
          <t>Жс</t>
        </is>
      </c>
      <c r="B8" s="6" t="n">
        <v>13</v>
      </c>
      <c r="C8" s="6" t="n">
        <v>-1</v>
      </c>
      <c r="D8" s="4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inlineStr">
        <is>
          <t>Максимум</t>
        </is>
      </c>
      <c r="B10" s="4" t="n"/>
      <c r="C10" s="4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Минимум</t>
        </is>
      </c>
      <c r="B11" s="6" t="n"/>
      <c r="C11" s="4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Орташа</t>
        </is>
      </c>
      <c r="B12" s="4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>
        <is>
          <t>Құлаш</t>
        </is>
      </c>
      <c r="B13" s="4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Оқушы</t>
        </is>
      </c>
      <c r="B1" s="5" t="inlineStr">
        <is>
          <t>60 м жүгіру, с</t>
        </is>
      </c>
      <c r="C1" s="5" t="inlineStr">
        <is>
          <t>Секіру, см</t>
        </is>
      </c>
      <c r="D1" s="5" t="inlineStr">
        <is>
          <t>Жерден итерілу</t>
        </is>
      </c>
      <c r="E1" s="6" t="n"/>
      <c r="F1" s="6" t="n"/>
      <c r="G1" s="6" t="n"/>
      <c r="H1" s="6" t="n"/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9.800000000000001</v>
      </c>
      <c r="C2" s="6" t="n">
        <v>155</v>
      </c>
      <c r="D2" s="6" t="n">
        <v>12</v>
      </c>
      <c r="E2" s="6" t="n"/>
      <c r="F2" s="6" t="n"/>
      <c r="G2" s="6" t="n"/>
      <c r="H2" s="6" t="n"/>
      <c r="I2" s="6" t="n"/>
      <c r="K2" s="8" t="n">
        <v>1</v>
      </c>
      <c r="L2" s="8" t="inlineStr">
        <is>
          <t>жүгірудегі үздік</t>
        </is>
      </c>
      <c r="M2" s="8" t="inlineStr">
        <is>
          <t>Жүгірудегі ең жақсы нәтижені тап (B9). Ойлан: жүгіруде көп уақыт жақсы ма, әлде аз уақыт па?</t>
        </is>
      </c>
      <c r="N2" s="8" t="inlineStr">
        <is>
          <t>B9</t>
        </is>
      </c>
      <c r="O2" s="9">
        <f>IF(ISBLANK(B9),"—",IF(OR(NOT(_xlfn.ISFORMULA(B9))),"✗ дайын жауап емес, формула керек",IF(NOT(OR(ISNUMBER(SEARCH("МИН(",IFERROR(_xlfn.FORMULATEXT(B9),""))),ISNUMBER(SEARCH("MIN(",IFERROR(_xlfn.FORMULATEXT(B9),""))))),"✗ МИН функциясы керек",IF(NOT(AND(IFERROR(ABS(B9-(MIN(B2:B7)))&lt;=0.01*MAX(1,ABS(MIN(B2:B7))),FALSE))),"✗ жауап дұрыс емес — формула мен ауқымды тексер","✓ дұрыс"))))</f>
        <v/>
      </c>
    </row>
    <row r="3">
      <c r="A3" s="6" t="inlineStr">
        <is>
          <t>Тимур</t>
        </is>
      </c>
      <c r="B3" s="6" t="n">
        <v>10.4</v>
      </c>
      <c r="C3" s="6" t="n">
        <v>170</v>
      </c>
      <c r="D3" s="6" t="n">
        <v>25</v>
      </c>
      <c r="E3" s="6" t="n"/>
      <c r="F3" s="6" t="n"/>
      <c r="G3" s="6" t="n"/>
      <c r="H3" s="6" t="n"/>
      <c r="I3" s="6" t="n"/>
      <c r="K3" s="8" t="n">
        <v>2</v>
      </c>
      <c r="L3" s="8" t="inlineStr">
        <is>
          <t>ең жақсы секіру</t>
        </is>
      </c>
      <c r="M3" s="8" t="inlineStr">
        <is>
          <t>Ең жақсы секіруді тап (C9).</t>
        </is>
      </c>
      <c r="N3" s="8" t="inlineStr">
        <is>
          <t>C9</t>
        </is>
      </c>
      <c r="O3" s="9">
        <f>IF(ISBLANK(C9),"—",IF(OR(NOT(_xlfn.ISFORMULA(C9))),"✗ дайын жауап емес, формула керек",IF(NOT(OR(ISNUMBER(SEARCH("МАКС(",IFERROR(_xlfn.FORMULATEXT(C9),""))),ISNUMBER(SEARCH("MAX(",IFERROR(_xlfn.FORMULATEXT(C9),""))))),"✗ МАКС функциясы керек",IF(NOT(AND(IFERROR(ABS(C9-(MAX(C2:C7)))&lt;=0.01*MAX(1,ABS(MAX(C2:C7))),FALSE))),"✗ жауап дұрыс емес — формула мен ауқымды тексер","✓ дұрыс"))))</f>
        <v/>
      </c>
    </row>
    <row r="4">
      <c r="A4" s="6" t="inlineStr">
        <is>
          <t>Дана</t>
        </is>
      </c>
      <c r="B4" s="6" t="n">
        <v>9.199999999999999</v>
      </c>
      <c r="C4" s="6" t="n">
        <v>140</v>
      </c>
      <c r="D4" s="6" t="n">
        <v>18</v>
      </c>
      <c r="E4" s="6" t="n"/>
      <c r="F4" s="6" t="n"/>
      <c r="G4" s="6" t="n"/>
      <c r="H4" s="6" t="n"/>
      <c r="I4" s="6" t="n"/>
      <c r="K4" s="8" t="n">
        <v>3</v>
      </c>
      <c r="L4" s="8" t="inlineStr">
        <is>
          <t>ең жақсы итерілу</t>
        </is>
      </c>
      <c r="M4" s="8" t="inlineStr">
        <is>
          <t>Жерден итерілудегі ең жақсы нәтижені тап (D9).</t>
        </is>
      </c>
      <c r="N4" s="8" t="inlineStr">
        <is>
          <t>D9</t>
        </is>
      </c>
      <c r="O4" s="9">
        <f>IF(ISBLANK(D9),"—",IF(OR(NOT(_xlfn.ISFORMULA(D9))),"✗ дайын жауап емес, формула керек",IF(NOT(OR(ISNUMBER(SEARCH("МАКС(",IFERROR(_xlfn.FORMULATEXT(D9),""))),ISNUMBER(SEARCH("MAX(",IFERROR(_xlfn.FORMULATEXT(D9),""))))),"✗ МАКС функциясы керек",IF(NOT(AND(IFERROR(ABS(D9-(MAX(D2:D7)))&lt;=0.01*MAX(1,ABS(MAX(D2:D7))),FALSE))),"✗ жауап дұрыс емес — формула мен ауқымды тексер","✓ дұрыс"))))</f>
        <v/>
      </c>
    </row>
    <row r="5">
      <c r="A5" s="6" t="inlineStr">
        <is>
          <t>Арман</t>
        </is>
      </c>
      <c r="B5" s="6" t="n">
        <v>8.9</v>
      </c>
      <c r="C5" s="6" t="n">
        <v>182</v>
      </c>
      <c r="D5" s="6" t="n">
        <v>30</v>
      </c>
      <c r="E5" s="6" t="n"/>
      <c r="F5" s="6" t="n"/>
      <c r="G5" s="6" t="n"/>
      <c r="H5" s="6" t="n"/>
      <c r="I5" s="6" t="n"/>
      <c r="K5" s="8" t="n">
        <v>4</v>
      </c>
      <c r="L5" s="8" t="inlineStr">
        <is>
          <t>жүгірудегі ең нашар</t>
        </is>
      </c>
      <c r="M5" s="8" t="inlineStr">
        <is>
          <t>Жүгірудегі ең нашар нәтижені тап (B10).</t>
        </is>
      </c>
      <c r="N5" s="8" t="inlineStr">
        <is>
          <t>B10</t>
        </is>
      </c>
      <c r="O5" s="9">
        <f>IF(ISBLANK(B10),"—",IF(OR(NOT(_xlfn.ISFORMULA(B10))),"✗ дайын жауап емес, формула керек",IF(NOT(OR(ISNUMBER(SEARCH("МАКС(",IFERROR(_xlfn.FORMULATEXT(B10),""))),ISNUMBER(SEARCH("MAX(",IFERROR(_xlfn.FORMULATEXT(B10),""))))),"✗ МАКС функциясы керек",IF(NOT(AND(IFERROR(ABS(B10-(MAX(B2:B7)))&lt;=0.01*MAX(1,ABS(MAX(B2:B7))),FALSE))),"✗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11</v>
      </c>
      <c r="C6" s="6" t="n">
        <v>130</v>
      </c>
      <c r="D6" s="6" t="n">
        <v>8</v>
      </c>
      <c r="E6" s="6" t="n"/>
      <c r="F6" s="6" t="n"/>
      <c r="G6" s="6" t="n"/>
      <c r="H6" s="6" t="n"/>
      <c r="I6" s="6" t="n"/>
      <c r="K6" s="8" t="n">
        <v>5</v>
      </c>
      <c r="L6" s="8" t="inlineStr">
        <is>
          <t>орташа секіру</t>
        </is>
      </c>
      <c r="M6" s="8" t="inlineStr">
        <is>
          <t>Сыныптың орташа секіруін тап (C11).</t>
        </is>
      </c>
      <c r="N6" s="8" t="inlineStr">
        <is>
          <t>C11</t>
        </is>
      </c>
      <c r="O6" s="9">
        <f>IF(ISBLANK(C11),"—",IF(OR(NOT(_xlfn.ISFORMULA(C11))),"✗ дайын жауап емес, формула керек",IF(NOT(OR(ISNUMBER(SEARCH("СРЗНАЧ(",IFERROR(_xlfn.FORMULATEXT(C11),""))),ISNUMBER(SEARCH("AVERAGE(",IFERROR(_xlfn.FORMULATEXT(C11),""))))),"✗ СРЗНАЧ функциясы керек",IF(NOT(AND(IFERROR(ABS(C11-(AVERAGE(C2:C7)))&lt;=0.01*MAX(1,ABS(AVERAGE(C2:C7))),FALSE))),"✗ жауап дұрыс емес — формула мен ауқымды тексер","✓ дұрыс"))))</f>
        <v/>
      </c>
    </row>
    <row r="7">
      <c r="A7" s="6" t="inlineStr">
        <is>
          <t>Ерлан</t>
        </is>
      </c>
      <c r="B7" s="6" t="n">
        <v>9.5</v>
      </c>
      <c r="C7" s="6" t="n">
        <v>165</v>
      </c>
      <c r="D7" s="6" t="n">
        <v>20</v>
      </c>
      <c r="E7" s="6" t="n"/>
      <c r="F7" s="6" t="n"/>
      <c r="G7" s="6" t="n"/>
      <c r="H7" s="6" t="n"/>
      <c r="I7" s="6" t="n"/>
      <c r="K7" s="8" t="n">
        <v>6</v>
      </c>
      <c r="L7" s="8" t="inlineStr">
        <is>
          <t>күрделі: үздікке дейін</t>
        </is>
      </c>
      <c r="M7" s="8" t="inlineStr">
        <is>
          <t>Мадинаға ең жақсы секіруге дейін неше сантиметр жетпеді? C12-де бір формула.</t>
        </is>
      </c>
      <c r="N7" s="8" t="inlineStr">
        <is>
          <t>C12</t>
        </is>
      </c>
      <c r="O7" s="9">
        <f>IF(ISBLANK(C12),"—",IF(OR(NOT(_xlfn.ISFORMULA(C12))),"✗ дайын жауап емес, формула керек",IF(NOT(OR(ISNUMBER(SEARCH("МАКС(",IFERROR(_xlfn.FORMULATEXT(C12),""))),ISNUMBER(SEARCH("MAX(",IFERROR(_xlfn.FORMULATEXT(C12),""))))),"✗ МАКС функциясы керек",IF(NOT(AND(IFERROR(ABS(C12-(MAX(C2:C7)-C6))&lt;=0.01*MAX(1,ABS(MAX(C2:C7)-C6)),FALSE))),"✗ жауап дұрыс емес — формула мен ауқымды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Үздік</t>
        </is>
      </c>
      <c r="B9" s="4" t="n"/>
      <c r="C9" s="4" t="n"/>
      <c r="D9" s="4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inlineStr">
        <is>
          <t>Ең нашар</t>
        </is>
      </c>
      <c r="B10" s="4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Орташа</t>
        </is>
      </c>
      <c r="B11" s="6" t="n"/>
      <c r="C11" s="4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Мадинаға үздікке дейін</t>
        </is>
      </c>
      <c r="B12" s="6" t="n"/>
      <c r="C12" s="4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Тауар</t>
        </is>
      </c>
      <c r="B1" s="5" t="inlineStr">
        <is>
          <t>1-дүкен</t>
        </is>
      </c>
      <c r="C1" s="5" t="inlineStr">
        <is>
          <t>2-дүкен</t>
        </is>
      </c>
      <c r="D1" s="5" t="inlineStr">
        <is>
          <t>3-дүкен</t>
        </is>
      </c>
      <c r="E1" s="5" t="inlineStr">
        <is>
          <t>Ең арзаны</t>
        </is>
      </c>
      <c r="F1" s="5" t="inlineStr">
        <is>
          <t>Ең қымбаты</t>
        </is>
      </c>
      <c r="G1" s="5" t="inlineStr">
        <is>
          <t>Орташа баға</t>
        </is>
      </c>
      <c r="H1" s="5" t="inlineStr">
        <is>
          <t>Үнем</t>
        </is>
      </c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Дәптер</t>
        </is>
      </c>
      <c r="B2" s="6" t="n">
        <v>150</v>
      </c>
      <c r="C2" s="6" t="n">
        <v>140</v>
      </c>
      <c r="D2" s="6" t="n">
        <v>165</v>
      </c>
      <c r="E2" s="4" t="n"/>
      <c r="F2" s="4" t="n"/>
      <c r="G2" s="4" t="n"/>
      <c r="H2" s="4" t="n"/>
      <c r="I2" s="6" t="n"/>
      <c r="K2" s="8" t="n">
        <v>1</v>
      </c>
      <c r="L2" s="8" t="inlineStr">
        <is>
          <t>Жол бойынша МИН</t>
        </is>
      </c>
      <c r="M2" s="8" t="inlineStr">
        <is>
          <t>E2-де үш дүкендегі дәптердің ең төмен бағасын тап та, E6-ға дейін созып көшір. Ең арзан жерде рюкзак қанша тұрады (E4)?</t>
        </is>
      </c>
      <c r="N2" s="8" t="inlineStr">
        <is>
          <t>E2 → E6 ұяшығына дейін созып көшір; жауап E4 ұяшығында</t>
        </is>
      </c>
      <c r="O2" s="9">
        <f>IF(ISBLANK(E2),"—",IF(OR(NOT(_xlfn.ISFORMULA(E2)),NOT(_xlfn.ISFORMULA(E3)),NOT(_xlfn.ISFORMULA(E4)),NOT(_xlfn.ISFORMULA(E5)),NOT(_xlfn.ISFORMULA(E6))),"✗ дайын жауап емес, формула керек (формуланы төмен созып көшір)",IF(NOT(OR(ISNUMBER(SEARCH("МИН(",IFERROR(_xlfn.FORMULATEXT(E2),""))),ISNUMBER(SEARCH("MIN(",IFERROR(_xlfn.FORMULATEXT(E2),""))))),"✗ МИН функциясы керек",IF(NOT(AND(IFERROR(ABS(E2-(MIN(B2:D2)))&lt;=0.01*MAX(1,ABS(MIN(B2:D2))),FALSE),IFERROR(ABS(E3-(MIN(B3:D3)))&lt;=0.01*MAX(1,ABS(MIN(B3:D3))),FALSE),IFERROR(ABS(E4-(MIN(B4:D4)))&lt;=0.01*MAX(1,ABS(MIN(B4:D4))),FALSE),IFERROR(ABS(E5-(MIN(B5:D5)))&lt;=0.01*MAX(1,ABS(MIN(B5:D5))),FALSE),IFERROR(ABS(E6-(MIN(B6:D6)))&lt;=0.01*MAX(1,ABS(MIN(B6:D6))),FALSE))),"✗ жауап дұрыс емес — формула мен ауқымды тексер","✓ дұрыс"))))</f>
        <v/>
      </c>
    </row>
    <row r="3">
      <c r="A3" s="6" t="inlineStr">
        <is>
          <t>Қалам</t>
        </is>
      </c>
      <c r="B3" s="6" t="n">
        <v>120</v>
      </c>
      <c r="C3" s="6" t="n">
        <v>130</v>
      </c>
      <c r="D3" s="6" t="n">
        <v>110</v>
      </c>
      <c r="E3" s="4" t="n"/>
      <c r="F3" s="4" t="n"/>
      <c r="G3" s="4" t="n"/>
      <c r="H3" s="4" t="n"/>
      <c r="I3" s="6" t="n"/>
      <c r="K3" s="8" t="n">
        <v>2</v>
      </c>
      <c r="L3" s="8" t="inlineStr">
        <is>
          <t>Жол бойынша МАКС</t>
        </is>
      </c>
      <c r="M3" s="8" t="inlineStr">
        <is>
          <t>F2-де — ең жоғары баға, F6-ға дейін созып көшір. Ең қымбат жерде рюкзак қанша тұрады (F4)?</t>
        </is>
      </c>
      <c r="N3" s="8" t="inlineStr">
        <is>
          <t>F2 → F6 ұяшығына дейін созып көшір; жауап F4 ұяшығында</t>
        </is>
      </c>
      <c r="O3" s="9">
        <f>IF(ISBLANK(F2),"—",IF(OR(NOT(_xlfn.ISFORMULA(F2)),NOT(_xlfn.ISFORMULA(F3)),NOT(_xlfn.ISFORMULA(F4)),NOT(_xlfn.ISFORMULA(F5)),NOT(_xlfn.ISFORMULA(F6))),"✗ дайын жауап емес, формула керек (формуланы төмен созып көшір)",IF(NOT(OR(ISNUMBER(SEARCH("МАКС(",IFERROR(_xlfn.FORMULATEXT(F2),""))),ISNUMBER(SEARCH("MAX(",IFERROR(_xlfn.FORMULATEXT(F2),""))))),"✗ МАКС функциясы керек",IF(NOT(AND(IFERROR(ABS(F2-(MAX(B2:D2)))&lt;=0.01*MAX(1,ABS(MAX(B2:D2))),FALSE),IFERROR(ABS(F3-(MAX(B3:D3)))&lt;=0.01*MAX(1,ABS(MAX(B3:D3))),FALSE),IFERROR(ABS(F4-(MAX(B4:D4)))&lt;=0.01*MAX(1,ABS(MAX(B4:D4))),FALSE),IFERROR(ABS(F5-(MAX(B5:D5)))&lt;=0.01*MAX(1,ABS(MAX(B5:D5))),FALSE),IFERROR(ABS(F6-(MAX(B6:D6)))&lt;=0.01*MAX(1,ABS(MAX(B6:D6))),FALSE))),"✗ жауап дұрыс емес — формула мен ауқымды тексер","✓ дұрыс"))))</f>
        <v/>
      </c>
    </row>
    <row r="4">
      <c r="A4" s="6" t="inlineStr">
        <is>
          <t>Рюкзак</t>
        </is>
      </c>
      <c r="B4" s="6" t="n">
        <v>9500</v>
      </c>
      <c r="C4" s="6" t="n">
        <v>8900</v>
      </c>
      <c r="D4" s="6" t="n">
        <v>10200</v>
      </c>
      <c r="E4" s="4" t="n"/>
      <c r="F4" s="4" t="n"/>
      <c r="G4" s="4" t="n"/>
      <c r="H4" s="4" t="n"/>
      <c r="I4" s="6" t="n"/>
      <c r="K4" s="8" t="n">
        <v>3</v>
      </c>
      <c r="L4" s="8" t="inlineStr">
        <is>
          <t>Жол бойынша СРЗНАЧ</t>
        </is>
      </c>
      <c r="M4" s="8" t="inlineStr">
        <is>
          <t>G2-де — орташа баға, G6-ға дейін созып көшір. Қаламсауыттың орташа бағасы қандай (G5)?</t>
        </is>
      </c>
      <c r="N4" s="8" t="inlineStr">
        <is>
          <t>G2 → G6 ұяшығына дейін созып көшір; жауап G5 ұяшығында</t>
        </is>
      </c>
      <c r="O4" s="9">
        <f>IF(ISBLANK(G2),"—",IF(OR(NOT(_xlfn.ISFORMULA(G2)),NOT(_xlfn.ISFORMULA(G3)),NOT(_xlfn.ISFORMULA(G4)),NOT(_xlfn.ISFORMULA(G5)),NOT(_xlfn.ISFORMULA(G6))),"✗ дайын жауап емес, формула керек (формуланы төмен созып көшір)",IF(NOT(OR(ISNUMBER(SEARCH("СРЗНАЧ(",IFERROR(_xlfn.FORMULATEXT(G2),""))),ISNUMBER(SEARCH("AVERAGE(",IFERROR(_xlfn.FORMULATEXT(G2),""))))),"✗ СРЗНАЧ функциясы керек",IF(NOT(AND(IFERROR(ABS(G2-(AVERAGE(B2:D2)))&lt;=0.01*MAX(1,ABS(AVERAGE(B2:D2))),FALSE),IFERROR(ABS(G3-(AVERAGE(B3:D3)))&lt;=0.01*MAX(1,ABS(AVERAGE(B3:D3))),FALSE),IFERROR(ABS(G4-(AVERAGE(B4:D4)))&lt;=0.01*MAX(1,ABS(AVERAGE(B4:D4))),FALSE),IFERROR(ABS(G5-(AVERAGE(B5:D5)))&lt;=0.01*MAX(1,ABS(AVERAGE(B5:D5))),FALSE),IFERROR(ABS(G6-(AVERAGE(B6:D6)))&lt;=0.01*MAX(1,ABS(AVERAGE(B6:D6))),FALSE))),"✗ жауап дұрыс емес — формула мен ауқымды тексер","✓ дұрыс"))))</f>
        <v/>
      </c>
    </row>
    <row r="5">
      <c r="A5" s="6" t="inlineStr">
        <is>
          <t>Қаламсауыт</t>
        </is>
      </c>
      <c r="B5" s="6" t="n">
        <v>1500</v>
      </c>
      <c r="C5" s="6" t="n">
        <v>1400</v>
      </c>
      <c r="D5" s="6" t="n">
        <v>1650</v>
      </c>
      <c r="E5" s="4" t="n"/>
      <c r="F5" s="4" t="n"/>
      <c r="G5" s="4" t="n"/>
      <c r="H5" s="4" t="n"/>
      <c r="I5" s="6" t="n"/>
      <c r="K5" s="8" t="n">
        <v>4</v>
      </c>
      <c r="L5" s="8" t="inlineStr">
        <is>
          <t>үнем</t>
        </is>
      </c>
      <c r="M5" s="8" t="inlineStr">
        <is>
          <t>Үнем — ең қымбаты ең арзанынан қаншаға қымбат. H2-де: =F2-E2, созып көшір. Рюкзактан қанша үнемдеуге болады (H4)?</t>
        </is>
      </c>
      <c r="N5" s="8" t="inlineStr">
        <is>
          <t>H2 → H6 ұяшығына дейін созып көшір; жауап H4 ұяшығында</t>
        </is>
      </c>
      <c r="O5" s="9">
        <f>IF(ISBLANK(H2),"—",IF(OR(NOT(_xlfn.ISFORMULA(H2)),NOT(_xlfn.ISFORMULA(H3)),NOT(_xlfn.ISFORMULA(H4)),NOT(_xlfn.ISFORMULA(H5)),NOT(_xlfn.ISFORMULA(H6))),"✗ дайын жауап емес, формула керек (формуланы төмен созып көшір)",IF(NOT(AND(IFERROR(ABS(H2-(F2-E2))&lt;=0.01*MAX(1,ABS(F2-E2)),FALSE),IFERROR(ABS(H3-(F3-E3))&lt;=0.01*MAX(1,ABS(F3-E3)),FALSE),IFERROR(ABS(H4-(F4-E4))&lt;=0.01*MAX(1,ABS(F4-E4)),FALSE),IFERROR(ABS(H5-(F5-E5))&lt;=0.01*MAX(1,ABS(F5-E5)),FALSE),IFERROR(ABS(H6-(F6-E6))&lt;=0.01*MAX(1,ABS(F6-E6)),FALSE))),"✗ жауап дұрыс емес — формула мен ауқымды тексер","✓ дұрыс")))</f>
        <v/>
      </c>
    </row>
    <row r="6">
      <c r="A6" s="6" t="inlineStr">
        <is>
          <t>Бояулар</t>
        </is>
      </c>
      <c r="B6" s="6" t="n">
        <v>900</v>
      </c>
      <c r="C6" s="6" t="n">
        <v>850</v>
      </c>
      <c r="D6" s="6" t="n">
        <v>950</v>
      </c>
      <c r="E6" s="4" t="n"/>
      <c r="F6" s="4" t="n"/>
      <c r="G6" s="4" t="n"/>
      <c r="H6" s="4" t="n"/>
      <c r="I6" s="6" t="n"/>
      <c r="K6" s="8" t="n">
        <v>5</v>
      </c>
      <c r="L6" s="8" t="inlineStr">
        <is>
          <t>СУММ</t>
        </is>
      </c>
      <c r="M6" s="8" t="inlineStr">
        <is>
          <t>Әр тауарды ең арзан жерден сатып алсаң, қанша төлейсің? E2:E6-ны E7-ге қос.</t>
        </is>
      </c>
      <c r="N6" s="8" t="inlineStr">
        <is>
          <t>E7</t>
        </is>
      </c>
      <c r="O6" s="9">
        <f>IF(ISBLANK(E7),"—",IF(OR(NOT(_xlfn.ISFORMULA(E7))),"✗ дайын жауап емес, формула керек",IF(NOT(OR(ISNUMBER(SEARCH("СУММ(",IFERROR(_xlfn.FORMULATEXT(E7),""))),ISNUMBER(SEARCH("SUM(",IFERROR(_xlfn.FORMULATEXT(E7),""))))),"✗ СУММ функциясы керек",IF(NOT(AND(IFERROR(ABS(E7-(SUM(E2:E6)))&lt;=0.01*MAX(1,ABS(SUM(E2:E6))),FALSE))),"✗ жауап дұрыс емес — формула мен ауқымды тексер","✓ дұрыс"))))</f>
        <v/>
      </c>
    </row>
    <row r="7">
      <c r="A7" s="6" t="inlineStr">
        <is>
          <t>Барлығы</t>
        </is>
      </c>
      <c r="B7" s="6" t="n"/>
      <c r="C7" s="6" t="n"/>
      <c r="D7" s="6" t="n"/>
      <c r="E7" s="4" t="n"/>
      <c r="F7" s="6" t="n"/>
      <c r="G7" s="6" t="n"/>
      <c r="H7" s="6" t="n"/>
      <c r="I7" s="6" t="n"/>
      <c r="K7" s="8" t="n">
        <v>6</v>
      </c>
      <c r="L7" s="8" t="inlineStr">
        <is>
          <t>күрделі: баға өсті</t>
        </is>
      </c>
      <c r="M7" s="8" t="inlineStr">
        <is>
          <t>2-дүкен рюкзактың бағасын 9800-ге көтерді — C4-ті өзгерт. Енді ең арзан жерде рюкзак қанша тұрады (E4)?</t>
        </is>
      </c>
      <c r="N7" s="8" t="inlineStr">
        <is>
          <t>C4 мәнін 9800 деп өзгерт; жауап E4 ұяшығында</t>
        </is>
      </c>
      <c r="O7" s="9">
        <f>IF(ISBLANK(E4),"—",IF(NOT(AND(C4=9800)),"✗ алдымен C4 мәнін 9800 деп өзгерт",IF(OR(NOT(_xlfn.ISFORMULA(E4))),"✗ дайын жауап емес, формула керек",IF(NOT(AND(IFERROR(ABS(E4-(MIN(B4:D4)))&lt;=0.01*MAX(1,ABS(MIN(B4:D4))),FALSE))),"✗ жауап дұрыс емес — формула мен ауқымды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Қатысушы</t>
        </is>
      </c>
      <c r="B1" s="5" t="inlineStr">
        <is>
          <t>1-тур</t>
        </is>
      </c>
      <c r="C1" s="5" t="inlineStr">
        <is>
          <t>2-тур</t>
        </is>
      </c>
      <c r="D1" s="5" t="inlineStr">
        <is>
          <t>3-тур</t>
        </is>
      </c>
      <c r="E1" s="5" t="inlineStr">
        <is>
          <t>Сомасы</t>
        </is>
      </c>
      <c r="F1" s="5" t="inlineStr">
        <is>
          <t>Орташа</t>
        </is>
      </c>
      <c r="G1" s="5" t="inlineStr">
        <is>
          <t>Ең жақсы тур</t>
        </is>
      </c>
      <c r="H1" s="5" t="inlineStr">
        <is>
          <t>Қорытынды</t>
        </is>
      </c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8</v>
      </c>
      <c r="C2" s="6" t="n">
        <v>9</v>
      </c>
      <c r="D2" s="6" t="n">
        <v>10</v>
      </c>
      <c r="E2" s="4" t="n"/>
      <c r="F2" s="4" t="n"/>
      <c r="G2" s="4" t="n"/>
      <c r="H2" s="6" t="n"/>
      <c r="I2" s="6" t="n"/>
      <c r="K2" s="8" t="n">
        <v>1</v>
      </c>
      <c r="L2" s="8" t="inlineStr">
        <is>
          <t>СУММ</t>
        </is>
      </c>
      <c r="M2" s="8" t="inlineStr">
        <is>
          <t>E2-де — үш турдың балдарының қосындысы, E7-ге дейін созып көшір. Мадинада қанша (E6)?</t>
        </is>
      </c>
      <c r="N2" s="8" t="inlineStr">
        <is>
          <t>E2 → E7 ұяшығына дейін созып көшір; жауап E6 ұяшығында</t>
        </is>
      </c>
      <c r="O2" s="9">
        <f>IF(ISBLANK(E2),"—",IF(OR(NOT(_xlfn.ISFORMULA(E2)),NOT(_xlfn.ISFORMULA(E3)),NOT(_xlfn.ISFORMULA(E4)),NOT(_xlfn.ISFORMULA(E5)),NOT(_xlfn.ISFORMULA(E6)),NOT(_xlfn.ISFORMULA(E7))),"✗ дайын жауап емес, формула керек (формуланы төмен созып көшір)",IF(NOT(OR(ISNUMBER(SEARCH("СУММ(",IFERROR(_xlfn.FORMULATEXT(E2),""))),ISNUMBER(SEARCH("SUM(",IFERROR(_xlfn.FORMULATEXT(E2),""))))),"✗ СУММ функциясы керек",IF(NOT(AND(IFERROR(ABS(E2-(SUM(B2:D2)))&lt;=0.01*MAX(1,ABS(SUM(B2:D2))),FALSE),IFERROR(ABS(E3-(SUM(B3:D3)))&lt;=0.01*MAX(1,ABS(SUM(B3:D3))),FALSE),IFERROR(ABS(E4-(SUM(B4:D4)))&lt;=0.01*MAX(1,ABS(SUM(B4:D4))),FALSE),IFERROR(ABS(E5-(SUM(B5:D5)))&lt;=0.01*MAX(1,ABS(SUM(B5:D5))),FALSE),IFERROR(ABS(E6-(SUM(B6:D6)))&lt;=0.01*MAX(1,ABS(SUM(B6:D6))),FALSE),IFERROR(ABS(E7-(SUM(B7:D7)))&lt;=0.01*MAX(1,ABS(SUM(B7:D7))),FALSE))),"✗ жауап дұрыс емес — формула мен ауқымды тексер","✓ дұрыс"))))</f>
        <v/>
      </c>
    </row>
    <row r="3">
      <c r="A3" s="6" t="inlineStr">
        <is>
          <t>Тимур</t>
        </is>
      </c>
      <c r="B3" s="6" t="n">
        <v>6</v>
      </c>
      <c r="C3" s="6" t="n">
        <v>7</v>
      </c>
      <c r="D3" s="6" t="n">
        <v>5</v>
      </c>
      <c r="E3" s="4" t="n"/>
      <c r="F3" s="4" t="n"/>
      <c r="G3" s="4" t="n"/>
      <c r="H3" s="6" t="n"/>
      <c r="I3" s="6" t="n"/>
      <c r="K3" s="8" t="n">
        <v>2</v>
      </c>
      <c r="L3" s="8" t="inlineStr">
        <is>
          <t>СРЗНАЧ</t>
        </is>
      </c>
      <c r="M3" s="8" t="inlineStr">
        <is>
          <t>F2-де — тур бойынша орташа балл, F7-ге дейін созып көшір. Тимурда қанша (F3)?</t>
        </is>
      </c>
      <c r="N3" s="8" t="inlineStr">
        <is>
          <t>F2 → F7 ұяшығына дейін созып көшір; жауап F3 ұяшығында</t>
        </is>
      </c>
      <c r="O3" s="9">
        <f>IF(ISBLANK(F2),"—",IF(OR(NOT(_xlfn.ISFORMULA(F2)),NOT(_xlfn.ISFORMULA(F3)),NOT(_xlfn.ISFORMULA(F4)),NOT(_xlfn.ISFORMULA(F5)),NOT(_xlfn.ISFORMULA(F6)),NOT(_xlfn.ISFORMULA(F7))),"✗ дайын жауап емес, формула керек (формуланы төмен созып көшір)",IF(NOT(OR(ISNUMBER(SEARCH("СРЗНАЧ(",IFERROR(_xlfn.FORMULATEXT(F2),""))),ISNUMBER(SEARCH("AVERAGE(",IFERROR(_xlfn.FORMULATEXT(F2),""))))),"✗ СРЗНАЧ функциясы керек",IF(NOT(AND(IFERROR(ABS(F2-(AVERAGE(B2:D2)))&lt;=0.01*MAX(1,ABS(AVERAGE(B2:D2))),FALSE),IFERROR(ABS(F3-(AVERAGE(B3:D3)))&lt;=0.01*MAX(1,ABS(AVERAGE(B3:D3))),FALSE),IFERROR(ABS(F4-(AVERAGE(B4:D4)))&lt;=0.01*MAX(1,ABS(AVERAGE(B4:D4))),FALSE),IFERROR(ABS(F5-(AVERAGE(B5:D5)))&lt;=0.01*MAX(1,ABS(AVERAGE(B5:D5))),FALSE),IFERROR(ABS(F6-(AVERAGE(B6:D6)))&lt;=0.01*MAX(1,ABS(AVERAGE(B6:D6))),FALSE),IFERROR(ABS(F7-(AVERAGE(B7:D7)))&lt;=0.01*MAX(1,ABS(AVERAGE(B7:D7))),FALSE))),"✗ жауап дұрыс емес — формула мен ауқымды тексер","✓ дұрыс"))))</f>
        <v/>
      </c>
    </row>
    <row r="4">
      <c r="A4" s="6" t="inlineStr">
        <is>
          <t>Дана</t>
        </is>
      </c>
      <c r="B4" s="6" t="n">
        <v>10</v>
      </c>
      <c r="C4" s="6" t="n">
        <v>8</v>
      </c>
      <c r="D4" s="6" t="n">
        <v>9</v>
      </c>
      <c r="E4" s="4" t="n"/>
      <c r="F4" s="4" t="n"/>
      <c r="G4" s="4" t="n"/>
      <c r="H4" s="6" t="n"/>
      <c r="I4" s="6" t="n"/>
      <c r="K4" s="8" t="n">
        <v>3</v>
      </c>
      <c r="L4" s="8" t="inlineStr">
        <is>
          <t>МАКС</t>
        </is>
      </c>
      <c r="M4" s="8" t="inlineStr">
        <is>
          <t>G2-де — қатысушының ең жақсы туры, G7-ге дейін созып көшір. Арманның ең жақсы туры қандай (G5)?</t>
        </is>
      </c>
      <c r="N4" s="8" t="inlineStr">
        <is>
          <t>G2 → G7 ұяшығына дейін созып көшір; жауап G5 ұяшығында</t>
        </is>
      </c>
      <c r="O4" s="9">
        <f>IF(ISBLANK(G2),"—",IF(OR(NOT(_xlfn.ISFORMULA(G2)),NOT(_xlfn.ISFORMULA(G3)),NOT(_xlfn.ISFORMULA(G4)),NOT(_xlfn.ISFORMULA(G5)),NOT(_xlfn.ISFORMULA(G6)),NOT(_xlfn.ISFORMULA(G7))),"✗ дайын жауап емес, формула керек (формуланы төмен созып көшір)",IF(NOT(OR(ISNUMBER(SEARCH("МАКС(",IFERROR(_xlfn.FORMULATEXT(G2),""))),ISNUMBER(SEARCH("MAX(",IFERROR(_xlfn.FORMULATEXT(G2),""))))),"✗ МАКС функциясы керек",IF(NOT(AND(IFERROR(ABS(G2-(MAX(B2:D2)))&lt;=0.01*MAX(1,ABS(MAX(B2:D2))),FALSE),IFERROR(ABS(G3-(MAX(B3:D3)))&lt;=0.01*MAX(1,ABS(MAX(B3:D3))),FALSE),IFERROR(ABS(G4-(MAX(B4:D4)))&lt;=0.01*MAX(1,ABS(MAX(B4:D4))),FALSE),IFERROR(ABS(G5-(MAX(B5:D5)))&lt;=0.01*MAX(1,ABS(MAX(B5:D5))),FALSE),IFERROR(ABS(G6-(MAX(B6:D6)))&lt;=0.01*MAX(1,ABS(MAX(B6:D6))),FALSE),IFERROR(ABS(G7-(MAX(B7:D7)))&lt;=0.01*MAX(1,ABS(MAX(B7:D7))),FALSE))),"✗ жауап дұрыс емес — формула мен ауқымды тексер","✓ дұрыс"))))</f>
        <v/>
      </c>
    </row>
    <row r="5">
      <c r="A5" s="6" t="inlineStr">
        <is>
          <t>Арман</t>
        </is>
      </c>
      <c r="B5" s="6" t="n">
        <v>4</v>
      </c>
      <c r="C5" s="6" t="n">
        <v>6</v>
      </c>
      <c r="D5" s="6" t="n">
        <v>7</v>
      </c>
      <c r="E5" s="4" t="n"/>
      <c r="F5" s="4" t="n"/>
      <c r="G5" s="4" t="n"/>
      <c r="H5" s="6" t="n"/>
      <c r="I5" s="6" t="n"/>
      <c r="K5" s="8" t="n">
        <v>4</v>
      </c>
      <c r="L5" s="8" t="inlineStr">
        <is>
          <t>ең жақсы сома</t>
        </is>
      </c>
      <c r="M5" s="8" t="inlineStr">
        <is>
          <t>Барлық қатысушының ішіндегі ең үлкен қосынды қандай? E8-ге жаз.</t>
        </is>
      </c>
      <c r="N5" s="8" t="inlineStr">
        <is>
          <t>E8</t>
        </is>
      </c>
      <c r="O5" s="9">
        <f>IF(ISBLANK(E8),"—",IF(OR(NOT(_xlfn.ISFORMULA(E8))),"✗ дайын жауап емес, формула керек",IF(NOT(OR(ISNUMBER(SEARCH("МАКС(",IFERROR(_xlfn.FORMULATEXT(E8),""))),ISNUMBER(SEARCH("MAX(",IFERROR(_xlfn.FORMULATEXT(E8),""))))),"✗ МАКС функциясы керек",IF(NOT(AND(IFERROR(ABS(E8-(MAX(E2:E7)))&lt;=0.01*MAX(1,ABS(MAX(E2:E7))),FALSE))),"✗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9</v>
      </c>
      <c r="C6" s="6" t="n">
        <v>10</v>
      </c>
      <c r="D6" s="6" t="n">
        <v>10</v>
      </c>
      <c r="E6" s="4" t="n"/>
      <c r="F6" s="4" t="n"/>
      <c r="G6" s="4" t="n"/>
      <c r="H6" s="4" t="n"/>
      <c r="I6" s="6" t="n"/>
      <c r="K6" s="8" t="n">
        <v>5</v>
      </c>
      <c r="L6" s="8" t="inlineStr">
        <is>
          <t>орташа сома</t>
        </is>
      </c>
      <c r="M6" s="8" t="inlineStr">
        <is>
          <t>Қатысушылардың орташа балл қосындысы қандай? E9-ға жаз.</t>
        </is>
      </c>
      <c r="N6" s="8" t="inlineStr">
        <is>
          <t>E9</t>
        </is>
      </c>
      <c r="O6" s="9">
        <f>IF(ISBLANK(E9),"—",IF(OR(NOT(_xlfn.ISFORMULA(E9))),"✗ дайын жауап емес, формула керек",IF(NOT(OR(ISNUMBER(SEARCH("СРЗНАЧ(",IFERROR(_xlfn.FORMULATEXT(E9),""))),ISNUMBER(SEARCH("AVERAGE(",IFERROR(_xlfn.FORMULATEXT(E9),""))))),"✗ СРЗНАЧ функциясы керек",IF(NOT(AND(IFERROR(ABS(E9-(AVERAGE(E2:E7)))&lt;=0.01*MAX(1,ABS(AVERAGE(E2:E7))),FALSE))),"✗ жауап дұрыс емес — формула мен ауқымды тексер","✓ дұрыс"))))</f>
        <v/>
      </c>
    </row>
    <row r="7">
      <c r="A7" s="6" t="inlineStr">
        <is>
          <t>Ерлан</t>
        </is>
      </c>
      <c r="B7" s="6" t="n">
        <v>7</v>
      </c>
      <c r="C7" s="6" t="n">
        <v>5</v>
      </c>
      <c r="D7" s="6" t="n">
        <v>8</v>
      </c>
      <c r="E7" s="4" t="n"/>
      <c r="F7" s="4" t="n"/>
      <c r="G7" s="4" t="n"/>
      <c r="H7" s="6" t="n"/>
      <c r="I7" s="6" t="n"/>
      <c r="K7" s="8" t="n">
        <v>6</v>
      </c>
      <c r="L7" s="8" t="inlineStr">
        <is>
          <t>күрделі: ЕСЛИ</t>
        </is>
      </c>
      <c r="M7" s="8" t="inlineStr">
        <is>
          <t>Мадинаның сомасы орташа сомадан (E9) көп болса, ол — жүлдегер. H6-ға «жүлдегер» немесе «қатысушы» деп жаз.</t>
        </is>
      </c>
      <c r="N7" s="8" t="inlineStr">
        <is>
          <t>H6</t>
        </is>
      </c>
      <c r="O7" s="9">
        <f>IF(ISBLANK(H6),"—",IF(OR(NOT(_xlfn.ISFORMULA(H6))),"✗ дайын жауап емес, формула керек",IF(NOT(OR(ISNUMBER(SEARCH("ЕСЛИ(",IFERROR(_xlfn.FORMULATEXT(H6),""))),ISNUMBER(SEARCH("IF(",IFERROR(_xlfn.FORMULATEXT(H6),""))))),"✗ ЕСЛИ функциясы керек",IF(NOT(AND(IFERROR(SUBSTITUTE(LOWER(H6&amp;""),"ё","е")=SUBSTITUTE(LOWER((IF(E6&gt;E9,"жүлдегер","қатысушы"))&amp;""),"ё","е"),FALSE))),"✗ жауап дұрыс емес — формула мен ауқымды тексер","✓ дұрыс"))))</f>
        <v/>
      </c>
    </row>
    <row r="8">
      <c r="A8" s="6" t="inlineStr">
        <is>
          <t>Ең жақсы сома</t>
        </is>
      </c>
      <c r="B8" s="6" t="n"/>
      <c r="C8" s="6" t="n"/>
      <c r="D8" s="6" t="n"/>
      <c r="E8" s="4" t="n"/>
      <c r="F8" s="6" t="n"/>
      <c r="G8" s="6" t="n"/>
      <c r="H8" s="6" t="n"/>
      <c r="I8" s="6" t="n"/>
    </row>
    <row r="9">
      <c r="A9" s="6" t="inlineStr">
        <is>
          <t>Орташа сома</t>
        </is>
      </c>
      <c r="B9" s="6" t="n"/>
      <c r="C9" s="6" t="n"/>
      <c r="D9" s="6" t="n"/>
      <c r="E9" s="4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2" max="2"/>
    <col width="22" customWidth="1" min="3" max="3"/>
  </cols>
  <sheetData>
    <row r="1">
      <c r="A1" s="1" t="inlineStr">
        <is>
          <t>Өзін-өзі тексеру қорытындысы</t>
        </is>
      </c>
    </row>
    <row r="2">
      <c r="A2">
        <f>"Оқушы: "&amp;Басы!B4&amp;", "&amp;Басы!B3</f>
        <v/>
      </c>
    </row>
    <row r="4">
      <c r="A4" s="7" t="inlineStr">
        <is>
          <t>Сценарий</t>
        </is>
      </c>
      <c r="B4" s="7" t="inlineStr">
        <is>
          <t>Атауы</t>
        </is>
      </c>
      <c r="C4" s="7" t="inlineStr">
        <is>
          <t>Функциялар</t>
        </is>
      </c>
      <c r="D4" s="7" t="inlineStr">
        <is>
          <t>Дұрыс</t>
        </is>
      </c>
      <c r="E4" s="7" t="inlineStr">
        <is>
          <t>Барлығы</t>
        </is>
      </c>
    </row>
    <row r="5">
      <c r="A5" t="inlineStr">
        <is>
          <t>S1</t>
        </is>
      </c>
      <c r="B5" t="inlineStr">
        <is>
          <t>Тоқсан журналы</t>
        </is>
      </c>
      <c r="C5" t="inlineStr">
        <is>
          <t>СРЗНАЧ</t>
        </is>
      </c>
      <c r="D5">
        <f>COUNTIF(S1!O2:O7,"✓*")</f>
        <v/>
      </c>
      <c r="E5" t="n">
        <v>6</v>
      </c>
    </row>
    <row r="6">
      <c r="A6" t="inlineStr">
        <is>
          <t>S2</t>
        </is>
      </c>
      <c r="B6" t="inlineStr">
        <is>
          <t>Аптадағы ауа райы</t>
        </is>
      </c>
      <c r="C6" t="inlineStr">
        <is>
          <t>МАКС · МИН</t>
        </is>
      </c>
      <c r="D6">
        <f>COUNTIF(S2!O2:O7,"✓*")</f>
        <v/>
      </c>
      <c r="E6" t="n">
        <v>6</v>
      </c>
    </row>
    <row r="7">
      <c r="A7" t="inlineStr">
        <is>
          <t>S3</t>
        </is>
      </c>
      <c r="B7" t="inlineStr">
        <is>
          <t>Спорт: ең жақсы нәтиже</t>
        </is>
      </c>
      <c r="C7" t="inlineStr">
        <is>
          <t>МАКС немесе МИН</t>
        </is>
      </c>
      <c r="D7">
        <f>COUNTIF(S3!O2:O7,"✓*")</f>
        <v/>
      </c>
      <c r="E7" t="n">
        <v>6</v>
      </c>
    </row>
    <row r="8">
      <c r="A8" t="inlineStr">
        <is>
          <t>S4</t>
        </is>
      </c>
      <c r="B8" t="inlineStr">
        <is>
          <t>Дүкендер: қай жерде арзан</t>
        </is>
      </c>
      <c r="C8" t="inlineStr">
        <is>
          <t>МИН · МАКС · СРЗНАЧ</t>
        </is>
      </c>
      <c r="D8">
        <f>COUNTIF(S4!O2:O7,"✓*")</f>
        <v/>
      </c>
      <c r="E8" t="n">
        <v>6</v>
      </c>
    </row>
    <row r="9">
      <c r="A9" t="inlineStr">
        <is>
          <t>S5</t>
        </is>
      </c>
      <c r="B9" t="inlineStr">
        <is>
          <t>Олимпиада</t>
        </is>
      </c>
      <c r="C9" t="inlineStr">
        <is>
          <t>Барлығы бірге + ЕСЛИ</t>
        </is>
      </c>
      <c r="D9">
        <f>COUNTIF(S5!O2:O7,"✓*")</f>
        <v/>
      </c>
      <c r="E9" t="n">
        <v>6</v>
      </c>
    </row>
    <row r="10">
      <c r="B10" s="10" t="inlineStr">
        <is>
          <t>Барлығы</t>
        </is>
      </c>
      <c r="D10" s="10">
        <f>SUM(D5:D9)</f>
        <v/>
      </c>
      <c r="E10" s="10">
        <f>SUM(E5:E9)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2026-10-24T17:31:33Z</dcterms:created>
  <dcterms:modified xmlns:dcterms="http://purl.org/dc/terms/" xmlns:xsi="http://www.w3.org/2001/XMLSchema-instance" xsi:type="dcterms:W3CDTF">2026-10-24T17:31:33Z</dcterms:modified>
</cp:coreProperties>
</file>